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777DB590A7B7650A/Documents/"/>
    </mc:Choice>
  </mc:AlternateContent>
  <xr:revisionPtr revIDLastSave="55" documentId="8_{945FE5E5-6575-4532-82B3-704BCD0FF1A6}" xr6:coauthVersionLast="47" xr6:coauthVersionMax="47" xr10:uidLastSave="{75793787-FF93-4289-A035-7EB59D7B69D3}"/>
  <bookViews>
    <workbookView xWindow="-108" yWindow="-108" windowWidth="23256" windowHeight="13896" firstSheet="1" activeTab="1" xr2:uid="{DE9727C3-EF9D-424A-A4BE-9E53FC95206A}"/>
  </bookViews>
  <sheets>
    <sheet name="Research Study PivotTable" sheetId="4" r:id="rId1"/>
    <sheet name="Dashboard" sheetId="9" r:id="rId2"/>
    <sheet name="Country PivotTable" sheetId="5" r:id="rId3"/>
    <sheet name="Business Impact PivotTable" sheetId="6" r:id="rId4"/>
    <sheet name="Research Focus PivotTable " sheetId="7" r:id="rId5"/>
    <sheet name="Year PivotTable" sheetId="8" r:id="rId6"/>
    <sheet name="raw data" sheetId="3" r:id="rId7"/>
  </sheets>
  <definedNames>
    <definedName name="Slicer_Business_Impact">#N/A</definedName>
    <definedName name="Slicer_Country_Region">#N/A</definedName>
    <definedName name="Slicer_Industry">#N/A</definedName>
    <definedName name="Slicer_Research_Focus">#N/A</definedName>
    <definedName name="Slicer_Research_Focus1">#N/A</definedName>
    <definedName name="Slicer_Study_ID1">#N/A</definedName>
    <definedName name="Slicer_Year">#N/A</definedName>
    <definedName name="Slicer_Year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<sst xmlns="http://schemas.openxmlformats.org/spreadsheetml/2006/main" count="214" uniqueCount="119">
  <si>
    <t>Study ID</t>
  </si>
  <si>
    <t>Source</t>
  </si>
  <si>
    <t>Year</t>
  </si>
  <si>
    <t>Country/Region</t>
  </si>
  <si>
    <t>Industry</t>
  </si>
  <si>
    <t>Sample/Scope</t>
  </si>
  <si>
    <t>Research Focus</t>
  </si>
  <si>
    <t>Key Finding</t>
  </si>
  <si>
    <t>Business Impact</t>
  </si>
  <si>
    <t>McKinsey – Women in the Workplace</t>
  </si>
  <si>
    <t>USA</t>
  </si>
  <si>
    <t>Multiple</t>
  </si>
  <si>
    <t>281 organizations, 10M+ employees</t>
  </si>
  <si>
    <t>Women's workplace experience</t>
  </si>
  <si>
    <t>Inclusive organizations improve employee experience and advancement. (McKinsey &amp; Company)</t>
  </si>
  <si>
    <t>Better retention</t>
  </si>
  <si>
    <t>McKinsey – Delivering Through Diversity</t>
  </si>
  <si>
    <t>Global</t>
  </si>
  <si>
    <t>1000+ companies</t>
  </si>
  <si>
    <t>Executive gender diversity</t>
  </si>
  <si>
    <t>Top-quartile gender-diverse executive teams were more likely to outperform financially. (McKinsey &amp; Company)</t>
  </si>
  <si>
    <t>Higher profitability</t>
  </si>
  <si>
    <t>Gallup</t>
  </si>
  <si>
    <t>Retail</t>
  </si>
  <si>
    <t>800+ business units</t>
  </si>
  <si>
    <t>Gender diversity</t>
  </si>
  <si>
    <t>Gender-diverse business units generated higher revenue. (Gallup.com)</t>
  </si>
  <si>
    <t>Higher revenue</t>
  </si>
  <si>
    <t>Hospitality</t>
  </si>
  <si>
    <t>Team diversity</t>
  </si>
  <si>
    <t>Gender-diverse teams earned higher quarterly profit. (Gallup.com)</t>
  </si>
  <si>
    <t>Higher profit</t>
  </si>
  <si>
    <t>Deloitte Women @ Work</t>
  </si>
  <si>
    <t>5,000 women</t>
  </si>
  <si>
    <t>Gender equality</t>
  </si>
  <si>
    <t>Employees in gender-equal organizations reported higher productivity and motivation. (Deloitte)</t>
  </si>
  <si>
    <t>Higher engagement</t>
  </si>
  <si>
    <t>Manchester School</t>
  </si>
  <si>
    <t>India</t>
  </si>
  <si>
    <t>Firm panel (2017–2022)</t>
  </si>
  <si>
    <t>Workforce gender diversity</t>
  </si>
  <si>
    <t>Gender diversity positively associated with productivity, especially in services. (Wiley Online Library)</t>
  </si>
  <si>
    <t>Higher productivity</t>
  </si>
  <si>
    <t>Services</t>
  </si>
  <si>
    <t>Firm panel</t>
  </si>
  <si>
    <t>Service sector</t>
  </si>
  <si>
    <t>Stronger productivity gains observed in service firms. (Wiley Online Library)</t>
  </si>
  <si>
    <t>Better efficiency</t>
  </si>
  <si>
    <t>McKinsey</t>
  </si>
  <si>
    <t>Global firms</t>
  </si>
  <si>
    <t>Women in executive roles</t>
  </si>
  <si>
    <t>More women in line (revenue-generating) roles linked with stronger performance. (McKinsey &amp; Company)</t>
  </si>
  <si>
    <t>Better financial results</t>
  </si>
  <si>
    <t>Women in the Workplace</t>
  </si>
  <si>
    <t>Corporate</t>
  </si>
  <si>
    <t>480,000+ survey responses</t>
  </si>
  <si>
    <t>Career progression</t>
  </si>
  <si>
    <t>Women's representation declines at higher management levels. (McKinsey &amp; Company)</t>
  </si>
  <si>
    <t>Leadership pipeline issue</t>
  </si>
  <si>
    <t>Deloitte</t>
  </si>
  <si>
    <t>5,000 respondents</t>
  </si>
  <si>
    <t>Employee loyalty</t>
  </si>
  <si>
    <t>Inclusive workplaces significantly improve loyalty. (Deloitte)</t>
  </si>
  <si>
    <t>Lower turnover</t>
  </si>
  <si>
    <t>Mental health</t>
  </si>
  <si>
    <t>Better support improves employee motivation. (Deloitte)</t>
  </si>
  <si>
    <t>Business units</t>
  </si>
  <si>
    <t>Decision making</t>
  </si>
  <si>
    <t>Diverse teams bring broader viewpoints and better problem-solving. (Gallup.com)</t>
  </si>
  <si>
    <t>Better decisions</t>
  </si>
  <si>
    <t>Gender Diversity in Research Teams</t>
  </si>
  <si>
    <t>Academia</t>
  </si>
  <si>
    <t>300k+ papers</t>
  </si>
  <si>
    <t>Mixed-gender collaboration</t>
  </si>
  <si>
    <t>Mixed-gender research teams receive higher citation impact. (arXiv)</t>
  </si>
  <si>
    <t>Greater innovation</t>
  </si>
  <si>
    <t>Italian Academic Productivity Study</t>
  </si>
  <si>
    <t>Italy</t>
  </si>
  <si>
    <t>National university system</t>
  </si>
  <si>
    <t>Research productivity</t>
  </si>
  <si>
    <t>Productivity gaps exist in some fields but vary substantially by discipline. (arXiv)</t>
  </si>
  <si>
    <t>Role-specific differences</t>
  </si>
  <si>
    <t>Computer Science Collaboration Study</t>
  </si>
  <si>
    <t>1M+ researchers</t>
  </si>
  <si>
    <t>Collaboration</t>
  </si>
  <si>
    <t>Successful men and women share similar collaboration patterns. (arXiv)</t>
  </si>
  <si>
    <t>Collaboration drives success</t>
  </si>
  <si>
    <t>COVID Research Productivity Study</t>
  </si>
  <si>
    <t>25 Countries</t>
  </si>
  <si>
    <t>76,832 authors</t>
  </si>
  <si>
    <t>Remote work</t>
  </si>
  <si>
    <t>Pandemic disproportionately reduced women's research productivity because of external pressures. (arXiv)</t>
  </si>
  <si>
    <t>Work-life balance matters</t>
  </si>
  <si>
    <t>Diversity</t>
  </si>
  <si>
    <t>Diversity is associated with stronger long-term value creation. (McKinsey &amp; Company)</t>
  </si>
  <si>
    <t>Sustainable growth</t>
  </si>
  <si>
    <t>Financial performance</t>
  </si>
  <si>
    <t>Diverse retail teams achieved stronger comparable revenue. (Gallup.com)</t>
  </si>
  <si>
    <t>Sales growth</t>
  </si>
  <si>
    <t>Belongingness</t>
  </si>
  <si>
    <t>Greater belonging is linked with higher motivation and productivity. (Deloitte)</t>
  </si>
  <si>
    <t>Better employee engagement</t>
  </si>
  <si>
    <t>Female workforce participation</t>
  </si>
  <si>
    <t>Positive productivity effects remained after robustness checks. (Wiley Online Library)</t>
  </si>
  <si>
    <t>Reliable evidence</t>
  </si>
  <si>
    <t>Row Labels</t>
  </si>
  <si>
    <t>Grand Total</t>
  </si>
  <si>
    <t>(All)</t>
  </si>
  <si>
    <t>Distribution of Research Studies by Industry</t>
  </si>
  <si>
    <t>Count of Study ID</t>
  </si>
  <si>
    <t>Year-wise Distribution of Research Studies</t>
  </si>
  <si>
    <t>Distribution of Research Focus Areas</t>
  </si>
  <si>
    <t>Business Impact Identified in Research Studies</t>
  </si>
  <si>
    <t>Distribution of Research Studies by Country/Region</t>
  </si>
  <si>
    <t>Total Studies</t>
  </si>
  <si>
    <t>Countries</t>
  </si>
  <si>
    <t>Industries</t>
  </si>
  <si>
    <t>Business Intelligence Research Dashboard</t>
  </si>
  <si>
    <t>Latest Reseach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</si>
</sst>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Tw Cen MT"/>
      <family val="2"/>
      <scheme val="minor"/>
    </font>
    <font>
      <b/>
      <sz val="11"/>
      <color theme="1"/>
      <name val="Tw Cen MT"/>
      <family val="2"/>
      <scheme val="minor"/>
    </font>
    <font>
      <u/>
      <sz val="11"/>
      <color theme="10"/>
      <name val="Tw Cen MT"/>
      <family val="2"/>
      <scheme val="minor"/>
    </font>
    <font>
      <b/>
      <sz val="12"/>
      <color theme="5" tint="-0.249977111117893"/>
      <name val="Tw Cen MT"/>
      <family val="2"/>
      <scheme val="minor"/>
    </font>
    <font>
      <b/>
      <sz val="14"/>
      <color theme="5" tint="-0.249977111117893"/>
      <name val="Tw Cen MT"/>
      <family val="2"/>
      <scheme val="minor"/>
    </font>
    <font>
      <b/>
      <sz val="16"/>
      <color theme="5" tint="-0.249977111117893"/>
      <name val="Tw Cen MT"/>
      <family val="2"/>
      <scheme val="minor"/>
    </font>
    <font>
      <b/>
      <sz val="24"/>
      <color theme="5" tint="-0.249977111117893"/>
      <name val="Tw Cen MT"/>
      <family val="2"/>
      <scheme val="minor"/>
    </font>
    <font>
      <b/>
      <sz val="14"/>
      <color theme="1"/>
      <name val="Tw Cen MT"/>
      <family val="2"/>
      <scheme val="minor"/>
    </font>
    <font>
      <sz val="20"/>
      <color theme="1"/>
      <name val="Tw Cen MT"/>
      <family val="2"/>
      <scheme val="minor"/>
    </font>
    <font>
      <b/>
      <sz val="20"/>
      <color theme="1"/>
      <name val="Tw Cen MT"/>
      <family val="2"/>
      <scheme val="minor"/>
    </font>
    <font>
      <sz val="18"/>
      <color theme="1"/>
      <name val="Tw Cen MT"/>
      <family val="2"/>
      <scheme val="minor"/>
    </font>
    <font>
      <b/>
      <sz val="18"/>
      <color theme="1"/>
      <name val="Tw Cen MT"/>
      <family val="2"/>
      <scheme val="minor"/>
    </font>
    <font>
      <sz val="14"/>
      <color theme="1"/>
      <name val="Tw Cen MT"/>
      <family val="2"/>
      <scheme val="minor"/>
    </font>
    <font>
      <b/>
      <sz val="11"/>
      <color rgb="FFB9F485"/>
      <name val="Tw Cen MT"/>
      <family val="2"/>
      <scheme val="minor"/>
    </font>
  </fonts>
  <fills count="3">
    <fill>
      <patternFill patternType="none"/>
    </fill>
    <fill>
      <patternFill patternType="gray125"/>
    </fill>
    <fill>
      <patternFill patternType="solid">
        <fgColor theme="3" tint="0.89999084444715716"/>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2" fillId="0" borderId="0" applyNumberFormat="0" applyFill="0" applyBorder="0" applyAlignment="0" applyProtection="0"/>
  </cellStyleXfs>
  <cellXfs count="3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0" borderId="0" xfId="0" applyFont="1"/>
    <xf numFmtId="0" fontId="6" fillId="0" borderId="0" xfId="0" applyFont="1"/>
    <xf numFmtId="0" fontId="5" fillId="0" borderId="0" xfId="0" applyFont="1"/>
    <xf numFmtId="0" fontId="1" fillId="0" borderId="0" xfId="0" applyFont="1" applyAlignment="1">
      <alignment vertical="center" wrapText="1"/>
    </xf>
    <xf numFmtId="0" fontId="3" fillId="0" borderId="0" xfId="0" applyFont="1"/>
    <xf numFmtId="0" fontId="4" fillId="0" borderId="0" xfId="0" applyFont="1"/>
    <xf numFmtId="0" fontId="0" fillId="2" borderId="0" xfId="0" applyFill="1"/>
    <xf numFmtId="0" fontId="1" fillId="2" borderId="0" xfId="0" applyFont="1" applyFill="1"/>
    <xf numFmtId="0" fontId="1" fillId="2" borderId="0" xfId="0" applyFont="1" applyFill="1" applyAlignment="1">
      <alignment vertical="center" wrapText="1"/>
    </xf>
    <xf numFmtId="0" fontId="0" fillId="2" borderId="0" xfId="0" applyFill="1" applyAlignment="1">
      <alignment vertical="center" wrapText="1"/>
    </xf>
    <xf numFmtId="0" fontId="7" fillId="2" borderId="0" xfId="0" applyFont="1" applyFill="1" applyAlignment="1">
      <alignment horizontal="center" vertical="center" wrapText="1"/>
    </xf>
    <xf numFmtId="0" fontId="7" fillId="2" borderId="0" xfId="0" applyFont="1" applyFill="1" applyAlignment="1">
      <alignment vertical="center" wrapText="1"/>
    </xf>
    <xf numFmtId="0" fontId="8" fillId="2" borderId="0" xfId="0" applyFont="1" applyFill="1"/>
    <xf numFmtId="0" fontId="10" fillId="2" borderId="0" xfId="0" applyFont="1" applyFill="1"/>
    <xf numFmtId="0" fontId="11" fillId="0" borderId="0" xfId="0" applyFont="1" applyAlignment="1">
      <alignment horizontal="center" vertical="center" wrapText="1"/>
    </xf>
    <xf numFmtId="0" fontId="11" fillId="0" borderId="0" xfId="0" applyFont="1" applyAlignment="1">
      <alignment vertical="center" wrapText="1"/>
    </xf>
    <xf numFmtId="0" fontId="12" fillId="2" borderId="0" xfId="0" applyFont="1" applyFill="1"/>
    <xf numFmtId="0" fontId="0" fillId="2" borderId="0" xfId="0" applyFill="1" applyAlignment="1">
      <alignment horizontal="left" vertical="center"/>
    </xf>
    <xf numFmtId="0" fontId="1" fillId="2" borderId="0" xfId="0" applyFont="1" applyFill="1" applyAlignment="1">
      <alignment horizontal="center" vertical="center" wrapText="1"/>
    </xf>
    <xf numFmtId="0" fontId="13" fillId="2" borderId="0" xfId="0" applyFont="1" applyFill="1" applyAlignment="1">
      <alignment vertical="center" wrapText="1"/>
    </xf>
    <xf numFmtId="0" fontId="9" fillId="2" borderId="0" xfId="0" applyFont="1" applyFill="1"/>
    <xf numFmtId="0" fontId="11" fillId="2" borderId="0" xfId="0" applyFont="1" applyFill="1"/>
  </cellXfs>
  <cellStyles count="2">
    <cellStyle name="Hyperlink" xfId="1" builtinId="8"/>
    <cellStyle name="Normal" xfId="0" builtinId="0"/>
  </cellStyles>
  <dxfs count="1">
    <dxf>
      <font>
        <b/>
        <i val="0"/>
        <strike val="0"/>
        <condense val="0"/>
        <extend val="0"/>
        <outline val="0"/>
        <shadow val="0"/>
        <u val="none"/>
        <vertAlign val="baseline"/>
        <sz val="11"/>
        <color theme="1"/>
        <name val="Tw Cen MT"/>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[projectttttttttttttttttttttttttttttttt.xlsx]Research Study PivotTable!PivotTable3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'Research Study PivotTable'!$B$3</c:f>
              <c:strCache>
                <c:ptCount val="1"/>
                <c:pt idx="0">
                  <c:v>Total</c:v>
                </c:pt>
              </c:strCache>
            </c:strRef>
          </c:tx>
          <c:spPr>
            <a:solidFill>
              <a:schemeClr val="accent1"/>
            </a:solidFill>
            <a:ln>
              <a:noFill/>
            </a:ln>
            <a:effectLst/>
          </c:spPr>
          <c:invertIfNegative val="0"/>
          <c:cat>
            <c:strRef>
              <c:f>'Research Study PivotTable'!$A$4:$A$6</c:f>
              <c:strCache>
                <c:ptCount val="2"/>
                <c:pt idx="0">
                  <c:v>Multiple</c:v>
                </c:pt>
                <c:pt idx="1">
                  <c:v>Services</c:v>
                </c:pt>
              </c:strCache>
            </c:strRef>
          </c:cat>
          <c:val>
            <c:numRef>
              <c:f>'Research Study PivotTable'!$B$4:$B$6</c:f>
              <c:numCache>
                <c:formatCode>General</c:formatCode>
                <c:ptCount val="2"/>
                <c:pt idx="0">
                  <c:v>2</c:v>
                </c:pt>
                <c:pt idx="1">
                  <c:v>1</c:v>
                </c:pt>
              </c:numCache>
            </c:numRef>
          </c:val>
          <c:extLst>
            <c:ext xmlns:c16="http://schemas.microsoft.com/office/drawing/2014/chart" uri="{C3380CC4-5D6E-409C-BE32-E72D297353CC}">
              <c16:uniqueId val="{00000002-967F-4534-837B-4C26FD1C0420}"/>
            </c:ext>
          </c:extLst>
        </c:ser>
        <c:dLbls>
          <c:showLegendKey val="0"/>
          <c:showVal val="0"/>
          <c:showCatName val="0"/>
          <c:showSerName val="0"/>
          <c:showPercent val="0"/>
          <c:showBubbleSize val="0"/>
        </c:dLbls>
        <c:gapWidth val="219"/>
        <c:overlap val="-27"/>
        <c:axId val="1102526591"/>
        <c:axId val="1102525151"/>
      </c:barChart>
      <c:catAx>
        <c:axId val="110252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25151"/>
        <c:crosses val="autoZero"/>
        <c:auto val="1"/>
        <c:lblAlgn val="ctr"/>
        <c:lblOffset val="100"/>
        <c:noMultiLvlLbl val="0"/>
      </c:catAx>
      <c:valAx>
        <c:axId val="110252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2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[projectttttttttttttttttttttttttttttttt.xlsx]Research Study PivotTable!PivotTable3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2"/>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2"/>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2"/>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2"/>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'Research Study PivotTable'!$B$3</c:f>
              <c:strCache>
                <c:ptCount val="1"/>
                <c:pt idx="0">
                  <c:v>Total</c:v>
                </c:pt>
              </c:strCache>
            </c:strRef>
          </c:tx>
          <c:spPr>
            <a:solidFill>
              <a:schemeClr val="accent1"/>
            </a:solidFill>
            <a:ln>
              <a:noFill/>
            </a:ln>
            <a:effectLst/>
          </c:spPr>
          <c:invertIfNegative val="0"/>
          <c:cat>
            <c:strRef>
              <c:f>'Research Study PivotTable'!$A$4:$A$6</c:f>
              <c:strCache>
                <c:ptCount val="2"/>
                <c:pt idx="0">
                  <c:v>Multiple</c:v>
                </c:pt>
                <c:pt idx="1">
                  <c:v>Services</c:v>
                </c:pt>
              </c:strCache>
            </c:strRef>
          </c:cat>
          <c:val>
            <c:numRef>
              <c:f>'Research Study PivotTable'!$B$4:$B$6</c:f>
              <c:numCache>
                <c:formatCode>General</c:formatCode>
                <c:ptCount val="2"/>
                <c:pt idx="0">
                  <c:v>2</c:v>
                </c:pt>
                <c:pt idx="1">
                  <c:v>1</c:v>
                </c:pt>
              </c:numCache>
            </c:numRef>
          </c:val>
          <c:extLst>
            <c:ext xmlns:c16="http://schemas.microsoft.com/office/drawing/2014/chart" uri="{C3380CC4-5D6E-409C-BE32-E72D297353CC}">
              <c16:uniqueId val="{00000000-6824-41CC-8AF8-AB63015214C3}"/>
            </c:ext>
          </c:extLst>
        </c:ser>
        <c:dLbls>
          <c:showLegendKey val="0"/>
          <c:showVal val="0"/>
          <c:showCatName val="0"/>
          <c:showSerName val="0"/>
          <c:showPercent val="0"/>
          <c:showBubbleSize val="0"/>
        </c:dLbls>
        <c:gapWidth val="219"/>
        <c:overlap val="-27"/>
        <c:axId val="1102526591"/>
        <c:axId val="1102525151"/>
      </c:barChart>
      <c:catAx>
        <c:axId val="110252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glow rad="127000">
                    <a:schemeClr val="bg2"/>
                  </a:glow>
                </a:effectLst>
                <a:latin typeface="+mn-lt"/>
                <a:ea typeface="+mn-ea"/>
                <a:cs typeface="+mn-cs"/>
              </a:defRPr>
            </a:pPr>
            <a:endParaRPr lang="en-US"/>
          </a:p>
        </c:txPr>
        <c:crossAx val="1102525151"/>
        <c:crosses val="autoZero"/>
        <c:auto val="1"/>
        <c:lblAlgn val="ctr"/>
        <c:lblOffset val="100"/>
        <c:noMultiLvlLbl val="0"/>
      </c:catAx>
      <c:valAx>
        <c:axId val="110252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glow rad="127000">
                    <a:schemeClr val="bg2"/>
                  </a:glow>
                </a:effectLst>
                <a:latin typeface="+mn-lt"/>
                <a:ea typeface="+mn-ea"/>
                <a:cs typeface="+mn-cs"/>
              </a:defRPr>
            </a:pPr>
            <a:endParaRPr lang="en-US"/>
          </a:p>
        </c:txPr>
        <c:crossAx val="110252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effectLst>
            <a:glow rad="127000">
              <a:schemeClr val="bg2"/>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[projectttttttttttttttttttttttttttttttt.xlsx]Country PivotTable!PivotTable4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19035743973402E-2"/>
          <c:y val="0.29056347295431045"/>
          <c:w val="0.57813798836242725"/>
          <c:h val="0.63865932047750229"/>
        </c:manualLayout>
      </c:layout>
      <c:barChart>
        <c:barDir val="col"/>
        <c:grouping val="clustered"/>
        <c:varyColors val="0"/>
        <c:ser>
          <c:idx val="0"/>
          <c:order val="0"/>
          <c:tx>
            <c:strRef>
              <c:f>'Country PivotTable'!$B$3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CC8-45CE-8101-DBCA494A89A3}"/>
              </c:ext>
            </c:extLst>
          </c:dPt>
          <c:dPt>
            <c:idx val="1"/>
            <c:invertIfNegative val="0"/>
            <c:bubble3D val="0"/>
            <c:extLst>
              <c:ext xmlns:c16="http://schemas.microsoft.com/office/drawing/2014/chart" uri="{C3380CC4-5D6E-409C-BE32-E72D297353CC}">
                <c16:uniqueId val="{00000003-0CC8-45CE-8101-DBCA494A89A3}"/>
              </c:ext>
            </c:extLst>
          </c:dPt>
          <c:dPt>
            <c:idx val="2"/>
            <c:invertIfNegative val="0"/>
            <c:bubble3D val="0"/>
            <c:extLst>
              <c:ext xmlns:c16="http://schemas.microsoft.com/office/drawing/2014/chart" uri="{C3380CC4-5D6E-409C-BE32-E72D297353CC}">
                <c16:uniqueId val="{00000005-0CC8-45CE-8101-DBCA494A89A3}"/>
              </c:ext>
            </c:extLst>
          </c:dPt>
          <c:dPt>
            <c:idx val="3"/>
            <c:invertIfNegative val="0"/>
            <c:bubble3D val="0"/>
            <c:extLst>
              <c:ext xmlns:c16="http://schemas.microsoft.com/office/drawing/2014/chart" uri="{C3380CC4-5D6E-409C-BE32-E72D297353CC}">
                <c16:uniqueId val="{00000007-0CC8-45CE-8101-DBCA494A89A3}"/>
              </c:ext>
            </c:extLst>
          </c:dPt>
          <c:dPt>
            <c:idx val="4"/>
            <c:invertIfNegative val="0"/>
            <c:bubble3D val="0"/>
            <c:extLst>
              <c:ext xmlns:c16="http://schemas.microsoft.com/office/drawing/2014/chart" uri="{C3380CC4-5D6E-409C-BE32-E72D297353CC}">
                <c16:uniqueId val="{00000009-0CC8-45CE-8101-DBCA494A89A3}"/>
              </c:ext>
            </c:extLst>
          </c:dPt>
          <c:dPt>
            <c:idx val="5"/>
            <c:invertIfNegative val="0"/>
            <c:bubble3D val="0"/>
            <c:extLst>
              <c:ext xmlns:c16="http://schemas.microsoft.com/office/drawing/2014/chart" uri="{C3380CC4-5D6E-409C-BE32-E72D297353CC}">
                <c16:uniqueId val="{0000000B-0CC8-45CE-8101-DBCA494A89A3}"/>
              </c:ext>
            </c:extLst>
          </c:dPt>
          <c:cat>
            <c:strRef>
              <c:f>'Country PivotTable'!$A$4:$A$5</c:f>
              <c:strCache>
                <c:ptCount val="1"/>
                <c:pt idx="0">
                  <c:v>Global</c:v>
                </c:pt>
              </c:strCache>
            </c:strRef>
          </c:cat>
          <c:val>
            <c:numRef>
              <c:f>'Country PivotTable'!$B$4:$B$5</c:f>
              <c:numCache>
                <c:formatCode>General</c:formatCode>
                <c:ptCount val="1"/>
                <c:pt idx="0">
                  <c:v>1</c:v>
                </c:pt>
              </c:numCache>
            </c:numRef>
          </c:val>
          <c:extLst>
            <c:ext xmlns:c16="http://schemas.microsoft.com/office/drawing/2014/chart" uri="{C3380CC4-5D6E-409C-BE32-E72D297353CC}">
              <c16:uniqueId val="{0000000C-0CC8-45CE-8101-DBCA494A89A3}"/>
            </c:ext>
          </c:extLst>
        </c:ser>
        <c:dLbls>
          <c:showLegendKey val="0"/>
          <c:showVal val="0"/>
          <c:showCatName val="0"/>
          <c:showSerName val="0"/>
          <c:showPercent val="0"/>
          <c:showBubbleSize val="0"/>
        </c:dLbls>
        <c:gapWidth val="100"/>
        <c:axId val="1187954991"/>
        <c:axId val="1187954031"/>
      </c:barChart>
      <c:valAx>
        <c:axId val="118795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54991"/>
        <c:crosses val="autoZero"/>
        <c:crossBetween val="between"/>
      </c:valAx>
      <c:catAx>
        <c:axId val="1187954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540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[projectttttttttttttttttttttttttttttttt.xlsx]Business Impact PivotTable!PivotTable5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hade val="37000"/>
            </a:schemeClr>
          </a:solidFill>
          <a:ln>
            <a:noFill/>
          </a:ln>
          <a:effectLst/>
        </c:spPr>
      </c:pivotFmt>
      <c:pivotFmt>
        <c:idx val="23"/>
        <c:spPr>
          <a:solidFill>
            <a:schemeClr val="accent1">
              <a:shade val="44000"/>
            </a:schemeClr>
          </a:solidFill>
          <a:ln>
            <a:noFill/>
          </a:ln>
          <a:effectLst/>
        </c:spPr>
      </c:pivotFmt>
      <c:pivotFmt>
        <c:idx val="24"/>
        <c:spPr>
          <a:solidFill>
            <a:schemeClr val="accent1">
              <a:shade val="51000"/>
            </a:schemeClr>
          </a:solidFill>
          <a:ln>
            <a:noFill/>
          </a:ln>
          <a:effectLst/>
        </c:spPr>
      </c:pivotFmt>
      <c:pivotFmt>
        <c:idx val="25"/>
        <c:spPr>
          <a:solidFill>
            <a:schemeClr val="accent1">
              <a:shade val="58000"/>
            </a:schemeClr>
          </a:solidFill>
          <a:ln>
            <a:noFill/>
          </a:ln>
          <a:effectLst/>
        </c:spPr>
      </c:pivotFmt>
      <c:pivotFmt>
        <c:idx val="26"/>
        <c:spPr>
          <a:solidFill>
            <a:schemeClr val="accent1">
              <a:shade val="65000"/>
            </a:schemeClr>
          </a:solidFill>
          <a:ln>
            <a:noFill/>
          </a:ln>
          <a:effectLst/>
        </c:spPr>
      </c:pivotFmt>
      <c:pivotFmt>
        <c:idx val="27"/>
        <c:spPr>
          <a:solidFill>
            <a:schemeClr val="accent1">
              <a:shade val="72000"/>
            </a:schemeClr>
          </a:solidFill>
          <a:ln>
            <a:noFill/>
          </a:ln>
          <a:effectLst/>
        </c:spPr>
      </c:pivotFmt>
      <c:pivotFmt>
        <c:idx val="28"/>
        <c:spPr>
          <a:solidFill>
            <a:schemeClr val="accent1">
              <a:shade val="79000"/>
            </a:schemeClr>
          </a:solidFill>
          <a:ln>
            <a:noFill/>
          </a:ln>
          <a:effectLst/>
        </c:spPr>
      </c:pivotFmt>
      <c:pivotFmt>
        <c:idx val="29"/>
        <c:spPr>
          <a:solidFill>
            <a:schemeClr val="accent1">
              <a:shade val="86000"/>
            </a:schemeClr>
          </a:solidFill>
          <a:ln>
            <a:noFill/>
          </a:ln>
          <a:effectLst/>
        </c:spPr>
      </c:pivotFmt>
      <c:pivotFmt>
        <c:idx val="30"/>
        <c:spPr>
          <a:solidFill>
            <a:schemeClr val="accent1">
              <a:shade val="93000"/>
            </a:schemeClr>
          </a:solidFill>
          <a:ln>
            <a:noFill/>
          </a:ln>
          <a:effectLst/>
        </c:spPr>
      </c:pivotFmt>
      <c:pivotFmt>
        <c:idx val="31"/>
        <c:spPr>
          <a:solidFill>
            <a:schemeClr val="accent1"/>
          </a:solidFill>
          <a:ln>
            <a:noFill/>
          </a:ln>
          <a:effectLst/>
        </c:spPr>
      </c:pivotFmt>
      <c:pivotFmt>
        <c:idx val="32"/>
        <c:spPr>
          <a:solidFill>
            <a:schemeClr val="accent1">
              <a:tint val="93000"/>
            </a:schemeClr>
          </a:solidFill>
          <a:ln>
            <a:noFill/>
          </a:ln>
          <a:effectLst/>
        </c:spPr>
      </c:pivotFmt>
      <c:pivotFmt>
        <c:idx val="33"/>
        <c:spPr>
          <a:solidFill>
            <a:schemeClr val="accent1">
              <a:tint val="86000"/>
            </a:schemeClr>
          </a:solidFill>
          <a:ln>
            <a:noFill/>
          </a:ln>
          <a:effectLst/>
        </c:spPr>
      </c:pivotFmt>
      <c:pivotFmt>
        <c:idx val="34"/>
        <c:spPr>
          <a:solidFill>
            <a:schemeClr val="accent1">
              <a:tint val="79000"/>
            </a:schemeClr>
          </a:solidFill>
          <a:ln>
            <a:noFill/>
          </a:ln>
          <a:effectLst/>
        </c:spPr>
      </c:pivotFmt>
      <c:pivotFmt>
        <c:idx val="35"/>
        <c:spPr>
          <a:solidFill>
            <a:schemeClr val="accent1">
              <a:tint val="72000"/>
            </a:schemeClr>
          </a:solidFill>
          <a:ln>
            <a:noFill/>
          </a:ln>
          <a:effectLst/>
        </c:spPr>
      </c:pivotFmt>
      <c:pivotFmt>
        <c:idx val="36"/>
        <c:spPr>
          <a:solidFill>
            <a:schemeClr val="accent1">
              <a:tint val="65000"/>
            </a:schemeClr>
          </a:solidFill>
          <a:ln>
            <a:noFill/>
          </a:ln>
          <a:effectLst/>
        </c:spPr>
      </c:pivotFmt>
      <c:pivotFmt>
        <c:idx val="37"/>
        <c:spPr>
          <a:solidFill>
            <a:schemeClr val="accent1">
              <a:tint val="58000"/>
            </a:schemeClr>
          </a:solidFill>
          <a:ln>
            <a:noFill/>
          </a:ln>
          <a:effectLst/>
        </c:spPr>
      </c:pivotFmt>
      <c:pivotFmt>
        <c:idx val="38"/>
        <c:spPr>
          <a:solidFill>
            <a:schemeClr val="accent1">
              <a:tint val="51000"/>
            </a:schemeClr>
          </a:solidFill>
          <a:ln>
            <a:noFill/>
          </a:ln>
          <a:effectLst/>
        </c:spPr>
      </c:pivotFmt>
      <c:pivotFmt>
        <c:idx val="39"/>
        <c:spPr>
          <a:solidFill>
            <a:schemeClr val="accent1">
              <a:tint val="44000"/>
            </a:schemeClr>
          </a:solidFill>
          <a:ln>
            <a:noFill/>
          </a:ln>
          <a:effectLst/>
        </c:spPr>
      </c:pivotFmt>
      <c:pivotFmt>
        <c:idx val="40"/>
        <c:spPr>
          <a:solidFill>
            <a:schemeClr val="accent1">
              <a:tint val="37000"/>
            </a:schemeClr>
          </a:solidFill>
          <a:ln>
            <a:noFill/>
          </a:ln>
          <a:effectLst/>
        </c:spPr>
      </c:pivotFmt>
    </c:pivotFmts>
    <c:plotArea>
      <c:layout/>
      <c:doughnutChart>
        <c:varyColors val="1"/>
        <c:ser>
          <c:idx val="0"/>
          <c:order val="0"/>
          <c:tx>
            <c:strRef>
              <c:f>'Business Impact PivotTable'!$B$3</c:f>
              <c:strCache>
                <c:ptCount val="1"/>
                <c:pt idx="0">
                  <c:v>Total</c:v>
                </c:pt>
              </c:strCache>
            </c:strRef>
          </c:tx>
          <c:dPt>
            <c:idx val="0"/>
            <c:bubble3D val="0"/>
            <c:spPr>
              <a:solidFill>
                <a:schemeClr val="accent1">
                  <a:tint val="79000"/>
                </a:schemeClr>
              </a:solidFill>
              <a:ln>
                <a:noFill/>
              </a:ln>
              <a:effectLst/>
            </c:spPr>
            <c:extLst>
              <c:ext xmlns:c16="http://schemas.microsoft.com/office/drawing/2014/chart" uri="{C3380CC4-5D6E-409C-BE32-E72D297353CC}">
                <c16:uniqueId val="{00000001-7103-44FB-A452-A337F74D2CD2}"/>
              </c:ext>
            </c:extLst>
          </c:dPt>
          <c:dPt>
            <c:idx val="1"/>
            <c:bubble3D val="0"/>
            <c:spPr>
              <a:solidFill>
                <a:schemeClr val="accent1">
                  <a:tint val="30000"/>
                </a:schemeClr>
              </a:solidFill>
              <a:ln>
                <a:noFill/>
              </a:ln>
              <a:effectLst/>
            </c:spPr>
            <c:extLst>
              <c:ext xmlns:c16="http://schemas.microsoft.com/office/drawing/2014/chart" uri="{C3380CC4-5D6E-409C-BE32-E72D297353CC}">
                <c16:uniqueId val="{00000003-7103-44FB-A452-A337F74D2CD2}"/>
              </c:ext>
            </c:extLst>
          </c:dPt>
          <c:dPt>
            <c:idx val="2"/>
            <c:bubble3D val="0"/>
            <c:spPr>
              <a:solidFill>
                <a:schemeClr val="accent1">
                  <a:tint val="60000"/>
                </a:schemeClr>
              </a:solidFill>
              <a:ln>
                <a:noFill/>
              </a:ln>
              <a:effectLst/>
            </c:spPr>
            <c:extLst>
              <c:ext xmlns:c16="http://schemas.microsoft.com/office/drawing/2014/chart" uri="{C3380CC4-5D6E-409C-BE32-E72D297353CC}">
                <c16:uniqueId val="{00000005-7103-44FB-A452-A337F74D2CD2}"/>
              </c:ext>
            </c:extLst>
          </c:dPt>
          <c:dPt>
            <c:idx val="3"/>
            <c:bubble3D val="0"/>
            <c:spPr>
              <a:solidFill>
                <a:schemeClr val="accent1">
                  <a:tint val="90000"/>
                </a:schemeClr>
              </a:solidFill>
              <a:ln>
                <a:noFill/>
              </a:ln>
              <a:effectLst/>
            </c:spPr>
            <c:extLst>
              <c:ext xmlns:c16="http://schemas.microsoft.com/office/drawing/2014/chart" uri="{C3380CC4-5D6E-409C-BE32-E72D297353CC}">
                <c16:uniqueId val="{00000007-7103-44FB-A452-A337F74D2CD2}"/>
              </c:ext>
            </c:extLst>
          </c:dPt>
          <c:dPt>
            <c:idx val="4"/>
            <c:bubble3D val="0"/>
            <c:spPr>
              <a:solidFill>
                <a:schemeClr val="accent1">
                  <a:tint val="20000"/>
                </a:schemeClr>
              </a:solidFill>
              <a:ln>
                <a:noFill/>
              </a:ln>
              <a:effectLst/>
            </c:spPr>
            <c:extLst>
              <c:ext xmlns:c16="http://schemas.microsoft.com/office/drawing/2014/chart" uri="{C3380CC4-5D6E-409C-BE32-E72D297353CC}">
                <c16:uniqueId val="{00000009-7103-44FB-A452-A337F74D2CD2}"/>
              </c:ext>
            </c:extLst>
          </c:dPt>
          <c:dPt>
            <c:idx val="5"/>
            <c:bubble3D val="0"/>
            <c:spPr>
              <a:solidFill>
                <a:schemeClr val="accent1">
                  <a:tint val="50000"/>
                </a:schemeClr>
              </a:solidFill>
              <a:ln>
                <a:noFill/>
              </a:ln>
              <a:effectLst/>
            </c:spPr>
            <c:extLst>
              <c:ext xmlns:c16="http://schemas.microsoft.com/office/drawing/2014/chart" uri="{C3380CC4-5D6E-409C-BE32-E72D297353CC}">
                <c16:uniqueId val="{0000000B-7103-44FB-A452-A337F74D2CD2}"/>
              </c:ext>
            </c:extLst>
          </c:dPt>
          <c:dPt>
            <c:idx val="6"/>
            <c:bubble3D val="0"/>
            <c:spPr>
              <a:solidFill>
                <a:schemeClr val="accent1">
                  <a:tint val="80000"/>
                </a:schemeClr>
              </a:solidFill>
              <a:ln>
                <a:noFill/>
              </a:ln>
              <a:effectLst/>
            </c:spPr>
            <c:extLst>
              <c:ext xmlns:c16="http://schemas.microsoft.com/office/drawing/2014/chart" uri="{C3380CC4-5D6E-409C-BE32-E72D297353CC}">
                <c16:uniqueId val="{0000000D-7103-44FB-A452-A337F74D2CD2}"/>
              </c:ext>
            </c:extLst>
          </c:dPt>
          <c:dPt>
            <c:idx val="7"/>
            <c:bubble3D val="0"/>
            <c:spPr>
              <a:solidFill>
                <a:schemeClr val="accent1">
                  <a:tint val="10000"/>
                </a:schemeClr>
              </a:solidFill>
              <a:ln>
                <a:noFill/>
              </a:ln>
              <a:effectLst/>
            </c:spPr>
            <c:extLst>
              <c:ext xmlns:c16="http://schemas.microsoft.com/office/drawing/2014/chart" uri="{C3380CC4-5D6E-409C-BE32-E72D297353CC}">
                <c16:uniqueId val="{0000000F-7103-44FB-A452-A337F74D2CD2}"/>
              </c:ext>
            </c:extLst>
          </c:dPt>
          <c:dPt>
            <c:idx val="8"/>
            <c:bubble3D val="0"/>
            <c:spPr>
              <a:solidFill>
                <a:schemeClr val="accent1">
                  <a:tint val="40000"/>
                </a:schemeClr>
              </a:solidFill>
              <a:ln>
                <a:noFill/>
              </a:ln>
              <a:effectLst/>
            </c:spPr>
            <c:extLst>
              <c:ext xmlns:c16="http://schemas.microsoft.com/office/drawing/2014/chart" uri="{C3380CC4-5D6E-409C-BE32-E72D297353CC}">
                <c16:uniqueId val="{00000011-7103-44FB-A452-A337F74D2CD2}"/>
              </c:ext>
            </c:extLst>
          </c:dPt>
          <c:dPt>
            <c:idx val="9"/>
            <c:bubble3D val="0"/>
            <c:spPr>
              <a:solidFill>
                <a:schemeClr val="accent1">
                  <a:tint val="70000"/>
                </a:schemeClr>
              </a:solidFill>
              <a:ln>
                <a:noFill/>
              </a:ln>
              <a:effectLst/>
            </c:spPr>
            <c:extLst>
              <c:ext xmlns:c16="http://schemas.microsoft.com/office/drawing/2014/chart" uri="{C3380CC4-5D6E-409C-BE32-E72D297353CC}">
                <c16:uniqueId val="{00000013-7103-44FB-A452-A337F74D2CD2}"/>
              </c:ext>
            </c:extLst>
          </c:dPt>
          <c:dPt>
            <c:idx val="10"/>
            <c:bubble3D val="0"/>
            <c:spPr>
              <a:solidFill>
                <a:schemeClr val="accent1"/>
              </a:solidFill>
              <a:ln>
                <a:noFill/>
              </a:ln>
              <a:effectLst/>
            </c:spPr>
            <c:extLst>
              <c:ext xmlns:c16="http://schemas.microsoft.com/office/drawing/2014/chart" uri="{C3380CC4-5D6E-409C-BE32-E72D297353CC}">
                <c16:uniqueId val="{00000015-7103-44FB-A452-A337F74D2CD2}"/>
              </c:ext>
            </c:extLst>
          </c:dPt>
          <c:dPt>
            <c:idx val="11"/>
            <c:bubble3D val="0"/>
            <c:spPr>
              <a:solidFill>
                <a:schemeClr val="accent1">
                  <a:tint val="30000"/>
                </a:schemeClr>
              </a:solidFill>
              <a:ln>
                <a:noFill/>
              </a:ln>
              <a:effectLst/>
            </c:spPr>
            <c:extLst>
              <c:ext xmlns:c16="http://schemas.microsoft.com/office/drawing/2014/chart" uri="{C3380CC4-5D6E-409C-BE32-E72D297353CC}">
                <c16:uniqueId val="{00000017-7103-44FB-A452-A337F74D2CD2}"/>
              </c:ext>
            </c:extLst>
          </c:dPt>
          <c:dPt>
            <c:idx val="12"/>
            <c:bubble3D val="0"/>
            <c:spPr>
              <a:solidFill>
                <a:schemeClr val="accent1">
                  <a:tint val="60000"/>
                </a:schemeClr>
              </a:solidFill>
              <a:ln>
                <a:noFill/>
              </a:ln>
              <a:effectLst/>
            </c:spPr>
            <c:extLst>
              <c:ext xmlns:c16="http://schemas.microsoft.com/office/drawing/2014/chart" uri="{C3380CC4-5D6E-409C-BE32-E72D297353CC}">
                <c16:uniqueId val="{00000019-7103-44FB-A452-A337F74D2CD2}"/>
              </c:ext>
            </c:extLst>
          </c:dPt>
          <c:dPt>
            <c:idx val="13"/>
            <c:bubble3D val="0"/>
            <c:spPr>
              <a:solidFill>
                <a:schemeClr val="accent1">
                  <a:tint val="90000"/>
                </a:schemeClr>
              </a:solidFill>
              <a:ln>
                <a:noFill/>
              </a:ln>
              <a:effectLst/>
            </c:spPr>
            <c:extLst>
              <c:ext xmlns:c16="http://schemas.microsoft.com/office/drawing/2014/chart" uri="{C3380CC4-5D6E-409C-BE32-E72D297353CC}">
                <c16:uniqueId val="{0000001B-7103-44FB-A452-A337F74D2CD2}"/>
              </c:ext>
            </c:extLst>
          </c:dPt>
          <c:dPt>
            <c:idx val="14"/>
            <c:bubble3D val="0"/>
            <c:spPr>
              <a:solidFill>
                <a:schemeClr val="accent1">
                  <a:tint val="20000"/>
                </a:schemeClr>
              </a:solidFill>
              <a:ln>
                <a:noFill/>
              </a:ln>
              <a:effectLst/>
            </c:spPr>
            <c:extLst>
              <c:ext xmlns:c16="http://schemas.microsoft.com/office/drawing/2014/chart" uri="{C3380CC4-5D6E-409C-BE32-E72D297353CC}">
                <c16:uniqueId val="{0000001D-7103-44FB-A452-A337F74D2CD2}"/>
              </c:ext>
            </c:extLst>
          </c:dPt>
          <c:dPt>
            <c:idx val="15"/>
            <c:bubble3D val="0"/>
            <c:spPr>
              <a:solidFill>
                <a:schemeClr val="accent1">
                  <a:tint val="50000"/>
                </a:schemeClr>
              </a:solidFill>
              <a:ln>
                <a:noFill/>
              </a:ln>
              <a:effectLst/>
            </c:spPr>
            <c:extLst>
              <c:ext xmlns:c16="http://schemas.microsoft.com/office/drawing/2014/chart" uri="{C3380CC4-5D6E-409C-BE32-E72D297353CC}">
                <c16:uniqueId val="{0000001F-7103-44FB-A452-A337F74D2CD2}"/>
              </c:ext>
            </c:extLst>
          </c:dPt>
          <c:dPt>
            <c:idx val="16"/>
            <c:bubble3D val="0"/>
            <c:spPr>
              <a:solidFill>
                <a:schemeClr val="accent1">
                  <a:tint val="80000"/>
                </a:schemeClr>
              </a:solidFill>
              <a:ln>
                <a:noFill/>
              </a:ln>
              <a:effectLst/>
            </c:spPr>
            <c:extLst>
              <c:ext xmlns:c16="http://schemas.microsoft.com/office/drawing/2014/chart" uri="{C3380CC4-5D6E-409C-BE32-E72D297353CC}">
                <c16:uniqueId val="{00000021-7103-44FB-A452-A337F74D2CD2}"/>
              </c:ext>
            </c:extLst>
          </c:dPt>
          <c:dPt>
            <c:idx val="17"/>
            <c:bubble3D val="0"/>
            <c:spPr>
              <a:solidFill>
                <a:schemeClr val="accent1">
                  <a:tint val="10000"/>
                </a:schemeClr>
              </a:solidFill>
              <a:ln>
                <a:noFill/>
              </a:ln>
              <a:effectLst/>
            </c:spPr>
            <c:extLst>
              <c:ext xmlns:c16="http://schemas.microsoft.com/office/drawing/2014/chart" uri="{C3380CC4-5D6E-409C-BE32-E72D297353CC}">
                <c16:uniqueId val="{00000023-7103-44FB-A452-A337F74D2CD2}"/>
              </c:ext>
            </c:extLst>
          </c:dPt>
          <c:dPt>
            <c:idx val="18"/>
            <c:bubble3D val="0"/>
            <c:spPr>
              <a:solidFill>
                <a:schemeClr val="accent1">
                  <a:tint val="40000"/>
                </a:schemeClr>
              </a:solidFill>
              <a:ln>
                <a:noFill/>
              </a:ln>
              <a:effectLst/>
            </c:spPr>
            <c:extLst>
              <c:ext xmlns:c16="http://schemas.microsoft.com/office/drawing/2014/chart" uri="{C3380CC4-5D6E-409C-BE32-E72D297353CC}">
                <c16:uniqueId val="{00000025-7103-44FB-A452-A337F74D2CD2}"/>
              </c:ext>
            </c:extLst>
          </c:dPt>
          <c:cat>
            <c:strRef>
              <c:f>'Business Impact PivotTable'!$A$4:$A$5</c:f>
              <c:strCache>
                <c:ptCount val="1"/>
                <c:pt idx="0">
                  <c:v>Leadership pipeline issue</c:v>
                </c:pt>
              </c:strCache>
            </c:strRef>
          </c:cat>
          <c:val>
            <c:numRef>
              <c:f>'Business Impact PivotTable'!$B$4:$B$5</c:f>
              <c:numCache>
                <c:formatCode>General</c:formatCode>
                <c:ptCount val="1"/>
                <c:pt idx="0">
                  <c:v>1</c:v>
                </c:pt>
              </c:numCache>
            </c:numRef>
          </c:val>
          <c:extLst>
            <c:ext xmlns:c16="http://schemas.microsoft.com/office/drawing/2014/chart" uri="{C3380CC4-5D6E-409C-BE32-E72D297353CC}">
              <c16:uniqueId val="{00000026-7103-44FB-A452-A337F74D2CD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92693163078298"/>
          <c:y val="0.22061450291894921"/>
          <c:w val="0.33333333333333331"/>
          <c:h val="0.74925576094378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[projectttttttttttttttttttttttttttttttt.xlsx]Research Focus PivotTable !PivotTable7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'Research Focus PivotTable '!$B$4</c:f>
              <c:strCache>
                <c:ptCount val="1"/>
                <c:pt idx="0">
                  <c:v>Total</c:v>
                </c:pt>
              </c:strCache>
            </c:strRef>
          </c:tx>
          <c:spPr>
            <a:solidFill>
              <a:schemeClr val="accent1"/>
            </a:solidFill>
            <a:ln>
              <a:noFill/>
            </a:ln>
            <a:effectLst/>
          </c:spPr>
          <c:invertIfNegative val="0"/>
          <c:cat>
            <c:strRef>
              <c:f>'Research Focus PivotTable '!$A$5:$A$7</c:f>
              <c:strCache>
                <c:ptCount val="2"/>
                <c:pt idx="0">
                  <c:v>Executive gender diversity</c:v>
                </c:pt>
                <c:pt idx="1">
                  <c:v>Women's workplace experience</c:v>
                </c:pt>
              </c:strCache>
            </c:strRef>
          </c:cat>
          <c:val>
            <c:numRef>
              <c:f>'Research Focus PivotTable '!$B$5:$B$7</c:f>
              <c:numCache>
                <c:formatCode>General</c:formatCode>
                <c:ptCount val="2"/>
                <c:pt idx="0">
                  <c:v>1</c:v>
                </c:pt>
                <c:pt idx="1">
                  <c:v>1</c:v>
                </c:pt>
              </c:numCache>
            </c:numRef>
          </c:val>
          <c:extLst>
            <c:ext xmlns:c16="http://schemas.microsoft.com/office/drawing/2014/chart" uri="{C3380CC4-5D6E-409C-BE32-E72D297353CC}">
              <c16:uniqueId val="{00000000-390A-40EA-8D08-7A26A4CD16E2}"/>
            </c:ext>
          </c:extLst>
        </c:ser>
        <c:dLbls>
          <c:showLegendKey val="0"/>
          <c:showVal val="0"/>
          <c:showCatName val="0"/>
          <c:showSerName val="0"/>
          <c:showPercent val="0"/>
          <c:showBubbleSize val="0"/>
        </c:dLbls>
        <c:gapWidth val="219"/>
        <c:overlap val="-27"/>
        <c:axId val="1102552991"/>
        <c:axId val="1102569791"/>
      </c:barChart>
      <c:catAx>
        <c:axId val="110255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69791"/>
        <c:crosses val="autoZero"/>
        <c:auto val="1"/>
        <c:lblAlgn val="ctr"/>
        <c:lblOffset val="100"/>
        <c:noMultiLvlLbl val="0"/>
      </c:catAx>
      <c:valAx>
        <c:axId val="110256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5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[projectttttttttttttttttttttttttttttttt.xlsx]Year PivotTable!PivotTable8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PivotTable'!$B$3</c:f>
              <c:strCache>
                <c:ptCount val="1"/>
                <c:pt idx="0">
                  <c:v>Total</c:v>
                </c:pt>
              </c:strCache>
            </c:strRef>
          </c:tx>
          <c:spPr>
            <a:solidFill>
              <a:schemeClr val="accent1"/>
            </a:solidFill>
            <a:ln>
              <a:noFill/>
            </a:ln>
            <a:effectLst/>
          </c:spPr>
          <c:invertIfNegative val="0"/>
          <c:cat>
            <c:strRef>
              <c:f>'Year PivotTable'!$A$4:$A$5</c:f>
              <c:strCache>
                <c:ptCount val="1"/>
                <c:pt idx="0">
                  <c:v>2024</c:v>
                </c:pt>
              </c:strCache>
            </c:strRef>
          </c:cat>
          <c:val>
            <c:numRef>
              <c:f>'Year PivotTable'!$B$4:$B$5</c:f>
              <c:numCache>
                <c:formatCode>General</c:formatCode>
                <c:ptCount val="1"/>
                <c:pt idx="0">
                  <c:v>6</c:v>
                </c:pt>
              </c:numCache>
            </c:numRef>
          </c:val>
          <c:extLst>
            <c:ext xmlns:c16="http://schemas.microsoft.com/office/drawing/2014/chart" uri="{C3380CC4-5D6E-409C-BE32-E72D297353CC}">
              <c16:uniqueId val="{00000000-E699-4BBF-B798-14B241080A6C}"/>
            </c:ext>
          </c:extLst>
        </c:ser>
        <c:dLbls>
          <c:showLegendKey val="0"/>
          <c:showVal val="0"/>
          <c:showCatName val="0"/>
          <c:showSerName val="0"/>
          <c:showPercent val="0"/>
          <c:showBubbleSize val="0"/>
        </c:dLbls>
        <c:gapWidth val="219"/>
        <c:overlap val="-27"/>
        <c:axId val="1102557791"/>
        <c:axId val="1102575071"/>
      </c:barChart>
      <c:catAx>
        <c:axId val="110255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75071"/>
        <c:crosses val="autoZero"/>
        <c:auto val="1"/>
        <c:lblAlgn val="ctr"/>
        <c:lblOffset val="100"/>
        <c:noMultiLvlLbl val="0"/>
      </c:catAx>
      <c:valAx>
        <c:axId val="110257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5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[projectttttttttttttttttttttttttttttttt.xlsx]Country PivotTable!PivotTable4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s>
    <c:plotArea>
      <c:layout/>
      <c:pieChart>
        <c:varyColors val="1"/>
        <c:ser>
          <c:idx val="0"/>
          <c:order val="0"/>
          <c:tx>
            <c:strRef>
              <c:f>'Country PivotTable'!$B$3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374-4682-8B44-7C8CEC66F0FD}"/>
              </c:ext>
            </c:extLst>
          </c:dPt>
          <c:dPt>
            <c:idx val="1"/>
            <c:bubble3D val="0"/>
            <c:spPr>
              <a:solidFill>
                <a:schemeClr val="accent2"/>
              </a:solidFill>
              <a:ln>
                <a:noFill/>
              </a:ln>
              <a:effectLst/>
            </c:spPr>
            <c:extLst>
              <c:ext xmlns:c16="http://schemas.microsoft.com/office/drawing/2014/chart" uri="{C3380CC4-5D6E-409C-BE32-E72D297353CC}">
                <c16:uniqueId val="{00000003-D374-4682-8B44-7C8CEC66F0FD}"/>
              </c:ext>
            </c:extLst>
          </c:dPt>
          <c:dPt>
            <c:idx val="2"/>
            <c:bubble3D val="0"/>
            <c:spPr>
              <a:solidFill>
                <a:schemeClr val="accent3"/>
              </a:solidFill>
              <a:ln>
                <a:noFill/>
              </a:ln>
              <a:effectLst/>
            </c:spPr>
            <c:extLst>
              <c:ext xmlns:c16="http://schemas.microsoft.com/office/drawing/2014/chart" uri="{C3380CC4-5D6E-409C-BE32-E72D297353CC}">
                <c16:uniqueId val="{00000005-D374-4682-8B44-7C8CEC66F0FD}"/>
              </c:ext>
            </c:extLst>
          </c:dPt>
          <c:dPt>
            <c:idx val="3"/>
            <c:bubble3D val="0"/>
            <c:spPr>
              <a:solidFill>
                <a:schemeClr val="accent4"/>
              </a:solidFill>
              <a:ln>
                <a:noFill/>
              </a:ln>
              <a:effectLst/>
            </c:spPr>
            <c:extLst>
              <c:ext xmlns:c16="http://schemas.microsoft.com/office/drawing/2014/chart" uri="{C3380CC4-5D6E-409C-BE32-E72D297353CC}">
                <c16:uniqueId val="{00000007-D374-4682-8B44-7C8CEC66F0FD}"/>
              </c:ext>
            </c:extLst>
          </c:dPt>
          <c:dPt>
            <c:idx val="4"/>
            <c:bubble3D val="0"/>
            <c:spPr>
              <a:solidFill>
                <a:schemeClr val="accent5"/>
              </a:solidFill>
              <a:ln>
                <a:noFill/>
              </a:ln>
              <a:effectLst/>
            </c:spPr>
            <c:extLst>
              <c:ext xmlns:c16="http://schemas.microsoft.com/office/drawing/2014/chart" uri="{C3380CC4-5D6E-409C-BE32-E72D297353CC}">
                <c16:uniqueId val="{00000009-D374-4682-8B44-7C8CEC66F0FD}"/>
              </c:ext>
            </c:extLst>
          </c:dPt>
          <c:dPt>
            <c:idx val="5"/>
            <c:bubble3D val="0"/>
            <c:spPr>
              <a:solidFill>
                <a:schemeClr val="accent6"/>
              </a:solidFill>
              <a:ln>
                <a:noFill/>
              </a:ln>
              <a:effectLst/>
            </c:spPr>
            <c:extLst>
              <c:ext xmlns:c16="http://schemas.microsoft.com/office/drawing/2014/chart" uri="{C3380CC4-5D6E-409C-BE32-E72D297353CC}">
                <c16:uniqueId val="{0000000B-D374-4682-8B44-7C8CEC66F0FD}"/>
              </c:ext>
            </c:extLst>
          </c:dPt>
          <c:cat>
            <c:strRef>
              <c:f>'Country PivotTable'!$A$4:$A$5</c:f>
              <c:strCache>
                <c:ptCount val="1"/>
                <c:pt idx="0">
                  <c:v>Global</c:v>
                </c:pt>
              </c:strCache>
            </c:strRef>
          </c:cat>
          <c:val>
            <c:numRef>
              <c:f>'Country PivotTable'!$B$4:$B$5</c:f>
              <c:numCache>
                <c:formatCode>General</c:formatCode>
                <c:ptCount val="1"/>
                <c:pt idx="0">
                  <c:v>1</c:v>
                </c:pt>
              </c:numCache>
            </c:numRef>
          </c:val>
          <c:extLst>
            <c:ext xmlns:c16="http://schemas.microsoft.com/office/drawing/2014/chart" uri="{C3380CC4-5D6E-409C-BE32-E72D297353CC}">
              <c16:uniqueId val="{00000015-2E71-4092-8EAC-AB18F0C3C0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[projectttttttttttttttttttttttttttttttt.xlsx]Business Impact PivotTable!PivotTable5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doughnutChart>
        <c:varyColors val="1"/>
        <c:ser>
          <c:idx val="0"/>
          <c:order val="0"/>
          <c:tx>
            <c:strRef>
              <c:f>'Business Impact PivotTable'!$B$3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39D-42B1-BA7F-462A5CAE06F1}"/>
              </c:ext>
            </c:extLst>
          </c:dPt>
          <c:dPt>
            <c:idx val="1"/>
            <c:bubble3D val="0"/>
            <c:spPr>
              <a:solidFill>
                <a:schemeClr val="accent2"/>
              </a:solidFill>
              <a:ln>
                <a:noFill/>
              </a:ln>
              <a:effectLst/>
            </c:spPr>
            <c:extLst>
              <c:ext xmlns:c16="http://schemas.microsoft.com/office/drawing/2014/chart" uri="{C3380CC4-5D6E-409C-BE32-E72D297353CC}">
                <c16:uniqueId val="{00000003-539D-42B1-BA7F-462A5CAE06F1}"/>
              </c:ext>
            </c:extLst>
          </c:dPt>
          <c:dPt>
            <c:idx val="2"/>
            <c:bubble3D val="0"/>
            <c:spPr>
              <a:solidFill>
                <a:schemeClr val="accent3"/>
              </a:solidFill>
              <a:ln>
                <a:noFill/>
              </a:ln>
              <a:effectLst/>
            </c:spPr>
            <c:extLst>
              <c:ext xmlns:c16="http://schemas.microsoft.com/office/drawing/2014/chart" uri="{C3380CC4-5D6E-409C-BE32-E72D297353CC}">
                <c16:uniqueId val="{00000005-539D-42B1-BA7F-462A5CAE06F1}"/>
              </c:ext>
            </c:extLst>
          </c:dPt>
          <c:dPt>
            <c:idx val="3"/>
            <c:bubble3D val="0"/>
            <c:spPr>
              <a:solidFill>
                <a:schemeClr val="accent4"/>
              </a:solidFill>
              <a:ln>
                <a:noFill/>
              </a:ln>
              <a:effectLst/>
            </c:spPr>
            <c:extLst>
              <c:ext xmlns:c16="http://schemas.microsoft.com/office/drawing/2014/chart" uri="{C3380CC4-5D6E-409C-BE32-E72D297353CC}">
                <c16:uniqueId val="{00000007-539D-42B1-BA7F-462A5CAE06F1}"/>
              </c:ext>
            </c:extLst>
          </c:dPt>
          <c:dPt>
            <c:idx val="4"/>
            <c:bubble3D val="0"/>
            <c:spPr>
              <a:solidFill>
                <a:schemeClr val="accent5"/>
              </a:solidFill>
              <a:ln>
                <a:noFill/>
              </a:ln>
              <a:effectLst/>
            </c:spPr>
            <c:extLst>
              <c:ext xmlns:c16="http://schemas.microsoft.com/office/drawing/2014/chart" uri="{C3380CC4-5D6E-409C-BE32-E72D297353CC}">
                <c16:uniqueId val="{00000009-539D-42B1-BA7F-462A5CAE06F1}"/>
              </c:ext>
            </c:extLst>
          </c:dPt>
          <c:dPt>
            <c:idx val="5"/>
            <c:bubble3D val="0"/>
            <c:spPr>
              <a:solidFill>
                <a:schemeClr val="accent6"/>
              </a:solidFill>
              <a:ln>
                <a:noFill/>
              </a:ln>
              <a:effectLst/>
            </c:spPr>
            <c:extLst>
              <c:ext xmlns:c16="http://schemas.microsoft.com/office/drawing/2014/chart" uri="{C3380CC4-5D6E-409C-BE32-E72D297353CC}">
                <c16:uniqueId val="{0000000B-539D-42B1-BA7F-462A5CAE06F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39D-42B1-BA7F-462A5CAE06F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39D-42B1-BA7F-462A5CAE06F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39D-42B1-BA7F-462A5CAE06F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39D-42B1-BA7F-462A5CAE06F1}"/>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539D-42B1-BA7F-462A5CAE06F1}"/>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539D-42B1-BA7F-462A5CAE06F1}"/>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539D-42B1-BA7F-462A5CAE06F1}"/>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539D-42B1-BA7F-462A5CAE06F1}"/>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539D-42B1-BA7F-462A5CAE06F1}"/>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539D-42B1-BA7F-462A5CAE06F1}"/>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539D-42B1-BA7F-462A5CAE06F1}"/>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539D-42B1-BA7F-462A5CAE06F1}"/>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539D-42B1-BA7F-462A5CAE06F1}"/>
              </c:ext>
            </c:extLst>
          </c:dPt>
          <c:cat>
            <c:strRef>
              <c:f>'Business Impact PivotTable'!$A$4:$A$5</c:f>
              <c:strCache>
                <c:ptCount val="1"/>
                <c:pt idx="0">
                  <c:v>Leadership pipeline issue</c:v>
                </c:pt>
              </c:strCache>
            </c:strRef>
          </c:cat>
          <c:val>
            <c:numRef>
              <c:f>'Business Impact PivotTable'!$B$4:$B$5</c:f>
              <c:numCache>
                <c:formatCode>General</c:formatCode>
                <c:ptCount val="1"/>
                <c:pt idx="0">
                  <c:v>1</c:v>
                </c:pt>
              </c:numCache>
            </c:numRef>
          </c:val>
          <c:extLst>
            <c:ext xmlns:c16="http://schemas.microsoft.com/office/drawing/2014/chart" uri="{C3380CC4-5D6E-409C-BE32-E72D297353CC}">
              <c16:uniqueId val="{00000000-4DD9-4C9A-BD63-3BFAC4D3140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[projectttttttttttttttttttttttttttttttt.xlsx]Research Focus PivotTable !PivotTable7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'Research Focus PivotTable '!$B$4</c:f>
              <c:strCache>
                <c:ptCount val="1"/>
                <c:pt idx="0">
                  <c:v>Total</c:v>
                </c:pt>
              </c:strCache>
            </c:strRef>
          </c:tx>
          <c:spPr>
            <a:solidFill>
              <a:schemeClr val="accent1"/>
            </a:solidFill>
            <a:ln>
              <a:noFill/>
            </a:ln>
            <a:effectLst/>
          </c:spPr>
          <c:invertIfNegative val="0"/>
          <c:cat>
            <c:strRef>
              <c:f>'Research Focus PivotTable '!$A$5:$A$7</c:f>
              <c:strCache>
                <c:ptCount val="2"/>
                <c:pt idx="0">
                  <c:v>Executive gender diversity</c:v>
                </c:pt>
                <c:pt idx="1">
                  <c:v>Women's workplace experience</c:v>
                </c:pt>
              </c:strCache>
            </c:strRef>
          </c:cat>
          <c:val>
            <c:numRef>
              <c:f>'Research Focus PivotTable '!$B$5:$B$7</c:f>
              <c:numCache>
                <c:formatCode>General</c:formatCode>
                <c:ptCount val="2"/>
                <c:pt idx="0">
                  <c:v>1</c:v>
                </c:pt>
                <c:pt idx="1">
                  <c:v>1</c:v>
                </c:pt>
              </c:numCache>
            </c:numRef>
          </c:val>
          <c:extLst>
            <c:ext xmlns:c16="http://schemas.microsoft.com/office/drawing/2014/chart" uri="{C3380CC4-5D6E-409C-BE32-E72D297353CC}">
              <c16:uniqueId val="{00000000-7309-4576-93B6-2F5996BA88B7}"/>
            </c:ext>
          </c:extLst>
        </c:ser>
        <c:dLbls>
          <c:showLegendKey val="0"/>
          <c:showVal val="0"/>
          <c:showCatName val="0"/>
          <c:showSerName val="0"/>
          <c:showPercent val="0"/>
          <c:showBubbleSize val="0"/>
        </c:dLbls>
        <c:gapWidth val="219"/>
        <c:overlap val="-27"/>
        <c:axId val="1102552991"/>
        <c:axId val="1102569791"/>
      </c:barChart>
      <c:catAx>
        <c:axId val="110255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69791"/>
        <c:crosses val="autoZero"/>
        <c:auto val="1"/>
        <c:lblAlgn val="ctr"/>
        <c:lblOffset val="100"/>
        <c:noMultiLvlLbl val="0"/>
      </c:catAx>
      <c:valAx>
        <c:axId val="110256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5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[projectttttttttttttttttttttttttttttttt.xlsx]Year PivotTable!PivotTable8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PivotTable'!$B$3</c:f>
              <c:strCache>
                <c:ptCount val="1"/>
                <c:pt idx="0">
                  <c:v>Total</c:v>
                </c:pt>
              </c:strCache>
            </c:strRef>
          </c:tx>
          <c:spPr>
            <a:solidFill>
              <a:schemeClr val="accent1"/>
            </a:solidFill>
            <a:ln>
              <a:noFill/>
            </a:ln>
            <a:effectLst/>
          </c:spPr>
          <c:invertIfNegative val="0"/>
          <c:cat>
            <c:strRef>
              <c:f>'Year PivotTable'!$A$4:$A$5</c:f>
              <c:strCache>
                <c:ptCount val="1"/>
                <c:pt idx="0">
                  <c:v>2024</c:v>
                </c:pt>
              </c:strCache>
            </c:strRef>
          </c:cat>
          <c:val>
            <c:numRef>
              <c:f>'Year PivotTable'!$B$4:$B$5</c:f>
              <c:numCache>
                <c:formatCode>General</c:formatCode>
                <c:ptCount val="1"/>
                <c:pt idx="0">
                  <c:v>6</c:v>
                </c:pt>
              </c:numCache>
            </c:numRef>
          </c:val>
          <c:extLst>
            <c:ext xmlns:c16="http://schemas.microsoft.com/office/drawing/2014/chart" uri="{C3380CC4-5D6E-409C-BE32-E72D297353CC}">
              <c16:uniqueId val="{00000002-FEF4-4BC1-9E34-CED4924D1B10}"/>
            </c:ext>
          </c:extLst>
        </c:ser>
        <c:dLbls>
          <c:showLegendKey val="0"/>
          <c:showVal val="0"/>
          <c:showCatName val="0"/>
          <c:showSerName val="0"/>
          <c:showPercent val="0"/>
          <c:showBubbleSize val="0"/>
        </c:dLbls>
        <c:gapWidth val="219"/>
        <c:overlap val="-27"/>
        <c:axId val="1102557791"/>
        <c:axId val="1102575071"/>
      </c:barChart>
      <c:catAx>
        <c:axId val="110255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75071"/>
        <c:crosses val="autoZero"/>
        <c:auto val="1"/>
        <c:lblAlgn val="ctr"/>
        <c:lblOffset val="100"/>
        <c:noMultiLvlLbl val="0"/>
      </c:catAx>
      <c:valAx>
        <c:axId val="110257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5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907D4D8-E945-9E8E-E96E-BDAED42E2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422049</xdr:colOff>
      <xdr:row>2</xdr:row>
      <xdr:rowOff>0</xdr:rowOff>
    </xdr:from>
    <xdr:to>
      <xdr:col>15</xdr:col>
      <xdr:colOff>222945</xdr:colOff>
      <xdr:row>16</xdr:row>
      <xdr:rowOff>156640</xdr:rowOff>
    </xdr:to>
    <mc:AlternateContent xmlns:mc="http://schemas.openxmlformats.org/markup-compatibility/2006" xmlns:a14="http://schemas.microsoft.com/office/drawing/2010/main">
      <mc:Choice Requires="a14">
        <xdr:graphicFrame macro="">
          <xdr:nvGraphicFramePr>
            <xdr:cNvPr id="3" name="Country/Region 2">
              <a:extLst>
                <a:ext uri="{FF2B5EF4-FFF2-40B4-BE49-F238E27FC236}">
                  <a16:creationId xmlns:a16="http://schemas.microsoft.com/office/drawing/2014/main" id="{9E4A6FDC-051E-3A36-C4B1-2D7A43BBA29F}"/>
                </a:ext>
              </a:extLst>
            </xdr:cNvPr>
            <xdr:cNvGraphicFramePr/>
          </xdr:nvGraphicFramePr>
          <xdr:xfrm>
            <a:off x="0" y="0"/>
            <a:ext cx="0" cy="0"/>
          </xdr:xfrm>
          <a:graphic>
            <a:graphicData uri="http://schemas.microsoft.com/office/drawing/2010/slicer">
              <sle:slicer xmlns:sle="http://schemas.microsoft.com/office/drawing/2010/slicer" name="Country/Region 2"/>
            </a:graphicData>
          </a:graphic>
        </xdr:graphicFrame>
      </mc:Choice>
      <mc:Fallback xmlns="">
        <xdr:sp macro="" textlink="">
          <xdr:nvSpPr>
            <xdr:cNvPr id="0" name=""/>
            <xdr:cNvSpPr>
              <a:spLocks noTextEdit="1"/>
            </xdr:cNvSpPr>
          </xdr:nvSpPr>
          <xdr:spPr>
            <a:xfrm>
              <a:off x="9258791" y="368710"/>
              <a:ext cx="1828800" cy="2565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15876</xdr:colOff>
      <xdr:row>7</xdr:row>
      <xdr:rowOff>31750</xdr:rowOff>
    </xdr:from>
    <xdr:to>
      <xdr:col>8</xdr:col>
      <xdr:colOff>0</xdr:colOff>
      <xdr:row>21</xdr:row>
      <xdr:rowOff>23812</xdr:rowOff>
    </xdr:to>
    <xdr:graphicFrame macro="">
      <xdr:nvGraphicFramePr>
        <xdr:cNvPr id="2" name="Chart 1">
          <a:extLst>
            <a:ext uri="{FF2B5EF4-FFF2-40B4-BE49-F238E27FC236}">
              <a16:creationId xmlns:a16="http://schemas.microsoft.com/office/drawing/2014/main" id="{05E1E1D1-1F3E-48A4-BFFB-5972245FA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456969</xdr:colOff>
      <xdr:row>6</xdr:row>
      <xdr:rowOff>140624</xdr:rowOff>
    </xdr:from>
    <xdr:to>
      <xdr:col>17</xdr:col>
      <xdr:colOff>390929</xdr:colOff>
      <xdr:row>21</xdr:row>
      <xdr:rowOff>16164</xdr:rowOff>
    </xdr:to>
    <xdr:graphicFrame macro="">
      <xdr:nvGraphicFramePr>
        <xdr:cNvPr id="3" name="Chart 2">
          <a:extLst>
            <a:ext uri="{FF2B5EF4-FFF2-40B4-BE49-F238E27FC236}">
              <a16:creationId xmlns:a16="http://schemas.microsoft.com/office/drawing/2014/main" id="{3B84DE88-BA2C-43AA-A61D-18BEB4A3F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25</xdr:row>
      <xdr:rowOff>0</xdr:rowOff>
    </xdr:from>
    <xdr:to>
      <xdr:col>8</xdr:col>
      <xdr:colOff>95251</xdr:colOff>
      <xdr:row>43</xdr:row>
      <xdr:rowOff>23812</xdr:rowOff>
    </xdr:to>
    <xdr:graphicFrame macro="">
      <xdr:nvGraphicFramePr>
        <xdr:cNvPr id="4" name="Chart 3">
          <a:extLst>
            <a:ext uri="{FF2B5EF4-FFF2-40B4-BE49-F238E27FC236}">
              <a16:creationId xmlns:a16="http://schemas.microsoft.com/office/drawing/2014/main" id="{470BFE5B-6C49-4149-BB3A-29FEBCD93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92710</xdr:colOff>
      <xdr:row>25</xdr:row>
      <xdr:rowOff>0</xdr:rowOff>
    </xdr:from>
    <xdr:to>
      <xdr:col>17</xdr:col>
      <xdr:colOff>60960</xdr:colOff>
      <xdr:row>42</xdr:row>
      <xdr:rowOff>144144</xdr:rowOff>
    </xdr:to>
    <xdr:graphicFrame macro="">
      <xdr:nvGraphicFramePr>
        <xdr:cNvPr id="5" name="Chart 4">
          <a:extLst>
            <a:ext uri="{FF2B5EF4-FFF2-40B4-BE49-F238E27FC236}">
              <a16:creationId xmlns:a16="http://schemas.microsoft.com/office/drawing/2014/main" id="{1BAE73D5-4CA9-4E19-978E-24EEC8166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550751</xdr:colOff>
      <xdr:row>49</xdr:row>
      <xdr:rowOff>135467</xdr:rowOff>
    </xdr:from>
    <xdr:to>
      <xdr:col>10</xdr:col>
      <xdr:colOff>42751</xdr:colOff>
      <xdr:row>69</xdr:row>
      <xdr:rowOff>155787</xdr:rowOff>
    </xdr:to>
    <xdr:graphicFrame macro="">
      <xdr:nvGraphicFramePr>
        <xdr:cNvPr id="6" name="Chart 5">
          <a:extLst>
            <a:ext uri="{FF2B5EF4-FFF2-40B4-BE49-F238E27FC236}">
              <a16:creationId xmlns:a16="http://schemas.microsoft.com/office/drawing/2014/main" id="{AFB183C6-5054-442C-A0AE-A598E2C47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655174</xdr:colOff>
      <xdr:row>28</xdr:row>
      <xdr:rowOff>27752</xdr:rowOff>
    </xdr:from>
    <xdr:to>
      <xdr:col>24</xdr:col>
      <xdr:colOff>1164588</xdr:colOff>
      <xdr:row>39</xdr:row>
      <xdr:rowOff>5526</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8D614F27-EBB6-53E3-CBD8-3B6CB09846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340992" y="7353343"/>
              <a:ext cx="1762096" cy="2052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366477</xdr:colOff>
      <xdr:row>13</xdr:row>
      <xdr:rowOff>32712</xdr:rowOff>
    </xdr:from>
    <xdr:to>
      <xdr:col>22</xdr:col>
      <xdr:colOff>562368</xdr:colOff>
      <xdr:row>24</xdr:row>
      <xdr:rowOff>102497</xdr:rowOff>
    </xdr:to>
    <mc:AlternateContent xmlns:mc="http://schemas.openxmlformats.org/markup-compatibility/2006" xmlns:a14="http://schemas.microsoft.com/office/drawing/2010/main">
      <mc:Choice Requires="a14">
        <xdr:graphicFrame macro="">
          <xdr:nvGraphicFramePr>
            <xdr:cNvPr id="9" name="Industry">
              <a:extLst>
                <a:ext uri="{FF2B5EF4-FFF2-40B4-BE49-F238E27FC236}">
                  <a16:creationId xmlns:a16="http://schemas.microsoft.com/office/drawing/2014/main" id="{6B999333-7CC3-EDB5-B8B0-3BFC08801305}"/>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2489204" y="4362257"/>
              <a:ext cx="1826366" cy="2275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696772</xdr:colOff>
      <xdr:row>13</xdr:row>
      <xdr:rowOff>66971</xdr:rowOff>
    </xdr:from>
    <xdr:to>
      <xdr:col>25</xdr:col>
      <xdr:colOff>15850</xdr:colOff>
      <xdr:row>26</xdr:row>
      <xdr:rowOff>147455</xdr:rowOff>
    </xdr:to>
    <mc:AlternateContent xmlns:mc="http://schemas.openxmlformats.org/markup-compatibility/2006" xmlns:a14="http://schemas.microsoft.com/office/drawing/2010/main">
      <mc:Choice Requires="a14">
        <xdr:graphicFrame macro="">
          <xdr:nvGraphicFramePr>
            <xdr:cNvPr id="10" name="Country/Region">
              <a:extLst>
                <a:ext uri="{FF2B5EF4-FFF2-40B4-BE49-F238E27FC236}">
                  <a16:creationId xmlns:a16="http://schemas.microsoft.com/office/drawing/2014/main" id="{ED3FF0FC-9219-47A5-7B42-0A584935AA7A}"/>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15382590" y="4396516"/>
              <a:ext cx="1841760" cy="2667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349471</xdr:colOff>
      <xdr:row>41</xdr:row>
      <xdr:rowOff>97317</xdr:rowOff>
    </xdr:from>
    <xdr:to>
      <xdr:col>22</xdr:col>
      <xdr:colOff>534947</xdr:colOff>
      <xdr:row>55</xdr:row>
      <xdr:rowOff>31008</xdr:rowOff>
    </xdr:to>
    <mc:AlternateContent xmlns:mc="http://schemas.openxmlformats.org/markup-compatibility/2006" xmlns:a14="http://schemas.microsoft.com/office/drawing/2010/main">
      <mc:Choice Requires="a14">
        <xdr:graphicFrame macro="">
          <xdr:nvGraphicFramePr>
            <xdr:cNvPr id="11" name="Research Focus">
              <a:extLst>
                <a:ext uri="{FF2B5EF4-FFF2-40B4-BE49-F238E27FC236}">
                  <a16:creationId xmlns:a16="http://schemas.microsoft.com/office/drawing/2014/main" id="{BB9D30D9-59A0-FFF1-CC52-A1E0FD6D0038}"/>
                </a:ext>
              </a:extLst>
            </xdr:cNvPr>
            <xdr:cNvGraphicFramePr/>
          </xdr:nvGraphicFramePr>
          <xdr:xfrm>
            <a:off x="0" y="0"/>
            <a:ext cx="0" cy="0"/>
          </xdr:xfrm>
          <a:graphic>
            <a:graphicData uri="http://schemas.microsoft.com/office/drawing/2010/slicer">
              <sle:slicer xmlns:sle="http://schemas.microsoft.com/office/drawing/2010/slicer" name="Research Focus"/>
            </a:graphicData>
          </a:graphic>
        </xdr:graphicFrame>
      </mc:Choice>
      <mc:Fallback xmlns="">
        <xdr:sp macro="" textlink="">
          <xdr:nvSpPr>
            <xdr:cNvPr id="0" name=""/>
            <xdr:cNvSpPr>
              <a:spLocks noTextEdit="1"/>
            </xdr:cNvSpPr>
          </xdr:nvSpPr>
          <xdr:spPr>
            <a:xfrm>
              <a:off x="12472198" y="9899408"/>
              <a:ext cx="1815951" cy="2667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293226</xdr:colOff>
      <xdr:row>26</xdr:row>
      <xdr:rowOff>48335</xdr:rowOff>
    </xdr:from>
    <xdr:to>
      <xdr:col>22</xdr:col>
      <xdr:colOff>478702</xdr:colOff>
      <xdr:row>40</xdr:row>
      <xdr:rowOff>56687</xdr:rowOff>
    </xdr:to>
    <mc:AlternateContent xmlns:mc="http://schemas.openxmlformats.org/markup-compatibility/2006" xmlns:a14="http://schemas.microsoft.com/office/drawing/2010/main">
      <mc:Choice Requires="a14">
        <xdr:graphicFrame macro="">
          <xdr:nvGraphicFramePr>
            <xdr:cNvPr id="12" name="Business Impact">
              <a:extLst>
                <a:ext uri="{FF2B5EF4-FFF2-40B4-BE49-F238E27FC236}">
                  <a16:creationId xmlns:a16="http://schemas.microsoft.com/office/drawing/2014/main" id="{374F6BEF-785D-B930-24B3-5F8923CF1B9D}"/>
                </a:ext>
              </a:extLst>
            </xdr:cNvPr>
            <xdr:cNvGraphicFramePr/>
          </xdr:nvGraphicFramePr>
          <xdr:xfrm>
            <a:off x="0" y="0"/>
            <a:ext cx="0" cy="0"/>
          </xdr:xfrm>
          <a:graphic>
            <a:graphicData uri="http://schemas.microsoft.com/office/drawing/2010/slicer">
              <sle:slicer xmlns:sle="http://schemas.microsoft.com/office/drawing/2010/slicer" name="Business Impact"/>
            </a:graphicData>
          </a:graphic>
        </xdr:graphicFrame>
      </mc:Choice>
      <mc:Fallback xmlns="">
        <xdr:sp macro="" textlink="">
          <xdr:nvSpPr>
            <xdr:cNvPr id="0" name=""/>
            <xdr:cNvSpPr>
              <a:spLocks noTextEdit="1"/>
            </xdr:cNvSpPr>
          </xdr:nvSpPr>
          <xdr:spPr>
            <a:xfrm>
              <a:off x="12415953" y="6992926"/>
              <a:ext cx="1815951" cy="2675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152400</xdr:rowOff>
    </xdr:from>
    <xdr:ext cx="13461999" cy="762000"/>
    <xdr:sp macro="" textlink="">
      <xdr:nvSpPr>
        <xdr:cNvPr id="13" name="Rectangle 12">
          <a:extLst>
            <a:ext uri="{FF2B5EF4-FFF2-40B4-BE49-F238E27FC236}">
              <a16:creationId xmlns:a16="http://schemas.microsoft.com/office/drawing/2014/main" id="{1CD65DB4-47D9-1FA8-2628-F4B154A461D3}"/>
            </a:ext>
          </a:extLst>
        </xdr:cNvPr>
        <xdr:cNvSpPr/>
      </xdr:nvSpPr>
      <xdr:spPr>
        <a:xfrm>
          <a:off x="0" y="152400"/>
          <a:ext cx="13461999" cy="762000"/>
        </a:xfrm>
        <a:prstGeom prst="rect">
          <a:avLst/>
        </a:prstGeom>
        <a:noFill/>
      </xdr:spPr>
      <xdr:txBody>
        <a:bodyPr wrap="none" lIns="91440" tIns="45720" rIns="91440" bIns="45720">
          <a:noAutofit/>
        </a:bodyPr>
        <a:lstStyle/>
        <a:p>
          <a:pPr algn="ctr"/>
          <a:r>
            <a:rPr lang="en-IN" sz="5400"/>
            <a:t>Employee Productivity Analysis (Gender-Based)</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31</xdr:col>
      <xdr:colOff>121227</xdr:colOff>
      <xdr:row>10</xdr:row>
      <xdr:rowOff>103909</xdr:rowOff>
    </xdr:from>
    <xdr:ext cx="9299863" cy="3269998"/>
    <xdr:sp macro="" textlink="">
      <xdr:nvSpPr>
        <xdr:cNvPr id="15" name="TextBox 14">
          <a:extLst>
            <a:ext uri="{FF2B5EF4-FFF2-40B4-BE49-F238E27FC236}">
              <a16:creationId xmlns:a16="http://schemas.microsoft.com/office/drawing/2014/main" id="{057F8D91-BF88-7907-AE6C-DA1FE6268ECA}"/>
            </a:ext>
          </a:extLst>
        </xdr:cNvPr>
        <xdr:cNvSpPr txBox="1"/>
      </xdr:nvSpPr>
      <xdr:spPr>
        <a:xfrm>
          <a:off x="19794682" y="4052454"/>
          <a:ext cx="9299863" cy="3269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a:t>KEY INSIGHTS</a:t>
          </a:r>
          <a:endParaRPr lang="en-IN" sz="3200"/>
        </a:p>
        <a:p>
          <a:r>
            <a:rPr lang="en-IN" sz="3200"/>
            <a:t>• Research covers 6 major industries.</a:t>
          </a:r>
          <a:br>
            <a:rPr lang="en-IN" sz="3200"/>
          </a:br>
          <a:r>
            <a:rPr lang="en-IN" sz="3200"/>
            <a:t>• Studies span 5 countries/regions.</a:t>
          </a:r>
          <a:br>
            <a:rPr lang="en-IN" sz="3200"/>
          </a:br>
          <a:r>
            <a:rPr lang="en-IN" sz="3200"/>
            <a:t>• Recent years show increased research activity.</a:t>
          </a:r>
          <a:br>
            <a:rPr lang="en-IN" sz="3200"/>
          </a:br>
          <a:r>
            <a:rPr lang="en-IN" sz="3200"/>
            <a:t>• Research frequently connects workplace diversity with business outcomes.</a:t>
          </a:r>
        </a:p>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1805940</xdr:colOff>
      <xdr:row>0</xdr:row>
      <xdr:rowOff>99060</xdr:rowOff>
    </xdr:from>
    <xdr:to>
      <xdr:col>7</xdr:col>
      <xdr:colOff>1889760</xdr:colOff>
      <xdr:row>15</xdr:row>
      <xdr:rowOff>121920</xdr:rowOff>
    </xdr:to>
    <xdr:graphicFrame macro="">
      <xdr:nvGraphicFramePr>
        <xdr:cNvPr id="2" name="Chart 1">
          <a:extLst>
            <a:ext uri="{FF2B5EF4-FFF2-40B4-BE49-F238E27FC236}">
              <a16:creationId xmlns:a16="http://schemas.microsoft.com/office/drawing/2014/main" id="{7F96E6F6-0356-085D-379F-8A40E7248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2095500</xdr:colOff>
      <xdr:row>1</xdr:row>
      <xdr:rowOff>121921</xdr:rowOff>
    </xdr:from>
    <xdr:to>
      <xdr:col>10</xdr:col>
      <xdr:colOff>22860</xdr:colOff>
      <xdr:row>15</xdr:row>
      <xdr:rowOff>1</xdr:rowOff>
    </xdr:to>
    <mc:AlternateContent xmlns:mc="http://schemas.openxmlformats.org/markup-compatibility/2006" xmlns:a14="http://schemas.microsoft.com/office/drawing/2010/main">
      <mc:Choice Requires="a14">
        <xdr:graphicFrame macro="">
          <xdr:nvGraphicFramePr>
            <xdr:cNvPr id="3" name="Country/Region 1">
              <a:extLst>
                <a:ext uri="{FF2B5EF4-FFF2-40B4-BE49-F238E27FC236}">
                  <a16:creationId xmlns:a16="http://schemas.microsoft.com/office/drawing/2014/main" id="{9368D9DE-990F-B03C-738C-98A457A3F0B3}"/>
                </a:ext>
              </a:extLst>
            </xdr:cNvPr>
            <xdr:cNvGraphicFramePr/>
          </xdr:nvGraphicFramePr>
          <xdr:xfrm>
            <a:off x="0" y="0"/>
            <a:ext cx="0" cy="0"/>
          </xdr:xfrm>
          <a:graphic>
            <a:graphicData uri="http://schemas.microsoft.com/office/drawing/2010/slicer">
              <sle:slicer xmlns:sle="http://schemas.microsoft.com/office/drawing/2010/slicer" name="Country/Region 1"/>
            </a:graphicData>
          </a:graphic>
        </xdr:graphicFrame>
      </mc:Choice>
      <mc:Fallback xmlns="">
        <xdr:sp macro="" textlink="">
          <xdr:nvSpPr>
            <xdr:cNvPr id="0" name=""/>
            <xdr:cNvSpPr>
              <a:spLocks noTextEdit="1"/>
            </xdr:cNvSpPr>
          </xdr:nvSpPr>
          <xdr:spPr>
            <a:xfrm>
              <a:off x="10629900" y="304801"/>
              <a:ext cx="18288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607539</xdr:colOff>
      <xdr:row>1</xdr:row>
      <xdr:rowOff>0</xdr:rowOff>
    </xdr:from>
    <xdr:to>
      <xdr:col>13</xdr:col>
      <xdr:colOff>535458</xdr:colOff>
      <xdr:row>20</xdr:row>
      <xdr:rowOff>10297</xdr:rowOff>
    </xdr:to>
    <xdr:graphicFrame macro="">
      <xdr:nvGraphicFramePr>
        <xdr:cNvPr id="2" name="Chart 1">
          <a:extLst>
            <a:ext uri="{FF2B5EF4-FFF2-40B4-BE49-F238E27FC236}">
              <a16:creationId xmlns:a16="http://schemas.microsoft.com/office/drawing/2014/main" id="{C858A344-1477-96E3-D8B1-7060A9DDB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326013</xdr:colOff>
      <xdr:row>3</xdr:row>
      <xdr:rowOff>35834</xdr:rowOff>
    </xdr:from>
    <xdr:to>
      <xdr:col>17</xdr:col>
      <xdr:colOff>146840</xdr:colOff>
      <xdr:row>17</xdr:row>
      <xdr:rowOff>166352</xdr:rowOff>
    </xdr:to>
    <mc:AlternateContent xmlns:mc="http://schemas.openxmlformats.org/markup-compatibility/2006" xmlns:a14="http://schemas.microsoft.com/office/drawing/2010/main">
      <mc:Choice Requires="a14">
        <xdr:graphicFrame macro="">
          <xdr:nvGraphicFramePr>
            <xdr:cNvPr id="3" name="Research Focus 1">
              <a:extLst>
                <a:ext uri="{FF2B5EF4-FFF2-40B4-BE49-F238E27FC236}">
                  <a16:creationId xmlns:a16="http://schemas.microsoft.com/office/drawing/2014/main" id="{95B1407F-FC6C-6ACC-1290-16664912450E}"/>
                </a:ext>
              </a:extLst>
            </xdr:cNvPr>
            <xdr:cNvGraphicFramePr/>
          </xdr:nvGraphicFramePr>
          <xdr:xfrm>
            <a:off x="0" y="0"/>
            <a:ext cx="0" cy="0"/>
          </xdr:xfrm>
          <a:graphic>
            <a:graphicData uri="http://schemas.microsoft.com/office/drawing/2010/slicer">
              <sle:slicer xmlns:sle="http://schemas.microsoft.com/office/drawing/2010/slicer" name="Research Focus 1"/>
            </a:graphicData>
          </a:graphic>
        </xdr:graphicFrame>
      </mc:Choice>
      <mc:Fallback xmlns="">
        <xdr:sp macro="" textlink="">
          <xdr:nvSpPr>
            <xdr:cNvPr id="0" name=""/>
            <xdr:cNvSpPr>
              <a:spLocks noTextEdit="1"/>
            </xdr:cNvSpPr>
          </xdr:nvSpPr>
          <xdr:spPr>
            <a:xfrm>
              <a:off x="10252608" y="59188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320040</xdr:colOff>
      <xdr:row>16</xdr:row>
      <xdr:rowOff>0</xdr:rowOff>
    </xdr:to>
    <xdr:graphicFrame macro="">
      <xdr:nvGraphicFramePr>
        <xdr:cNvPr id="2" name="Chart 1">
          <a:extLst>
            <a:ext uri="{FF2B5EF4-FFF2-40B4-BE49-F238E27FC236}">
              <a16:creationId xmlns:a16="http://schemas.microsoft.com/office/drawing/2014/main" id="{6F68A08E-1C3B-FD55-DEEB-3FD478DC5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43815</xdr:colOff>
      <xdr:row>1</xdr:row>
      <xdr:rowOff>99060</xdr:rowOff>
    </xdr:from>
    <xdr:to>
      <xdr:col>15</xdr:col>
      <xdr:colOff>539115</xdr:colOff>
      <xdr:row>16</xdr:row>
      <xdr:rowOff>108585</xdr:rowOff>
    </xdr:to>
    <mc:AlternateContent xmlns:mc="http://schemas.openxmlformats.org/markup-compatibility/2006" xmlns:a14="http://schemas.microsoft.com/office/drawing/2010/main">
      <mc:Choice Requires="a14">
        <xdr:graphicFrame macro="">
          <xdr:nvGraphicFramePr>
            <xdr:cNvPr id="3" name="Study ID 1">
              <a:extLst>
                <a:ext uri="{FF2B5EF4-FFF2-40B4-BE49-F238E27FC236}">
                  <a16:creationId xmlns:a16="http://schemas.microsoft.com/office/drawing/2014/main" id="{93C80C64-84EA-9B1A-5A70-86CC63C35FBA}"/>
                </a:ext>
              </a:extLst>
            </xdr:cNvPr>
            <xdr:cNvGraphicFramePr/>
          </xdr:nvGraphicFramePr>
          <xdr:xfrm>
            <a:off x="0" y="0"/>
            <a:ext cx="0" cy="0"/>
          </xdr:xfrm>
          <a:graphic>
            <a:graphicData uri="http://schemas.microsoft.com/office/drawing/2010/slicer">
              <sle:slicer xmlns:sle="http://schemas.microsoft.com/office/drawing/2010/slicer" name="Study ID 1"/>
            </a:graphicData>
          </a:graphic>
        </xdr:graphicFrame>
      </mc:Choice>
      <mc:Fallback xmlns="">
        <xdr:sp macro="" textlink="">
          <xdr:nvSpPr>
            <xdr:cNvPr id="0" name=""/>
            <xdr:cNvSpPr>
              <a:spLocks noTextEdit="1"/>
            </xdr:cNvSpPr>
          </xdr:nvSpPr>
          <xdr:spPr>
            <a:xfrm>
              <a:off x="9825990" y="28003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0</xdr:row>
      <xdr:rowOff>187157</xdr:rowOff>
    </xdr:from>
    <xdr:to>
      <xdr:col>13</xdr:col>
      <xdr:colOff>53474</xdr:colOff>
      <xdr:row>19</xdr:row>
      <xdr:rowOff>160420</xdr:rowOff>
    </xdr:to>
    <xdr:graphicFrame macro="">
      <xdr:nvGraphicFramePr>
        <xdr:cNvPr id="2" name="Chart 1">
          <a:extLst>
            <a:ext uri="{FF2B5EF4-FFF2-40B4-BE49-F238E27FC236}">
              <a16:creationId xmlns:a16="http://schemas.microsoft.com/office/drawing/2014/main" id="{C0021F91-9057-4E24-CFC7-9FA0D75B8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295976</xdr:colOff>
      <xdr:row>4</xdr:row>
      <xdr:rowOff>160153</xdr:rowOff>
    </xdr:from>
    <xdr:to>
      <xdr:col>16</xdr:col>
      <xdr:colOff>119513</xdr:colOff>
      <xdr:row>19</xdr:row>
      <xdr:rowOff>134586</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A0DB8672-19F6-C099-56ED-A9387C7B71D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20713" y="90878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ita Upadhyay" refreshedDate="46226.874932175924" createdVersion="8" refreshedVersion="8" minRefreshableVersion="3" recordCount="20" xr:uid="{B7781615-7318-4DA3-AFB4-1AFAD27B5363}">
  <cacheSource type="worksheet">
    <worksheetSource ref="A1:I21" sheet="raw data"/>
  </cacheSource>
  <cacheFields count="9">
    <cacheField name="Study ID" numFmtId="0">
      <sharedItems containsSemiMixedTypes="0" containsString="0" containsNumber="1" containsInteger="1" minValue="1" maxValue="20" count="20">
        <n v="1"/>
        <n v="2"/>
        <n v="3"/>
        <n v="4"/>
        <n v="5"/>
        <n v="6"/>
        <n v="7"/>
        <n v="8"/>
        <n v="9"/>
        <n v="10"/>
        <n v="11"/>
        <n v="12"/>
        <n v="13"/>
        <n v="14"/>
        <n v="15"/>
        <n v="16"/>
        <n v="17"/>
        <n v="18"/>
        <n v="19"/>
        <n v="20"/>
      </sharedItems>
    </cacheField>
    <cacheField name="Source" numFmtId="0">
      <sharedItems count="12">
        <s v="McKinsey – Women in the Workplace"/>
        <s v="McKinsey – Delivering Through Diversity"/>
        <s v="Gallup"/>
        <s v="Deloitte Women @ Work"/>
        <s v="Manchester School"/>
        <s v="McKinsey"/>
        <s v="Women in the Workplace"/>
        <s v="Deloitte"/>
        <s v="Gender Diversity in Research Teams"/>
        <s v="Italian Academic Productivity Study"/>
        <s v="Computer Science Collaboration Study"/>
        <s v="COVID Research Productivity Study"/>
      </sharedItems>
    </cacheField>
    <cacheField name="Year" numFmtId="0">
      <sharedItems containsSemiMixedTypes="0" containsString="0" containsNumber="1" containsInteger="1" minValue="2014" maxValue="2026" count="6">
        <n v="2024"/>
        <n v="2018"/>
        <n v="2014"/>
        <n v="2026"/>
        <n v="2020"/>
        <n v="2017"/>
      </sharedItems>
    </cacheField>
    <cacheField name="Country/Region" numFmtId="0">
      <sharedItems count="6">
        <s v="USA"/>
        <s v="Global"/>
        <s v="India"/>
        <s v="Italy"/>
        <s v="25 Countries"/>
        <s v="Retail"/>
      </sharedItems>
    </cacheField>
    <cacheField name="Industry" numFmtId="0">
      <sharedItems count="7">
        <s v="Multiple"/>
        <s v="Retail"/>
        <s v="Hospitality"/>
        <s v="Services"/>
        <s v="Corporate"/>
        <s v="Academia"/>
        <s v="USA"/>
      </sharedItems>
    </cacheField>
    <cacheField name="Sample/Scope" numFmtId="0">
      <sharedItems count="14">
        <s v="281 organizations, 10M+ employees"/>
        <s v="1000+ companies"/>
        <s v="800+ business units"/>
        <s v="5,000 women"/>
        <s v="Firm panel (2017–2022)"/>
        <s v="Firm panel"/>
        <s v="Global firms"/>
        <s v="480,000+ survey responses"/>
        <s v="5,000 respondents"/>
        <s v="Business units"/>
        <s v="300k+ papers"/>
        <s v="National university system"/>
        <s v="1M+ researchers"/>
        <s v="76,832 authors"/>
      </sharedItems>
    </cacheField>
    <cacheField name="Research Focus" numFmtId="0">
      <sharedItems count="20">
        <s v="Women's workplace experience"/>
        <s v="Executive gender diversity"/>
        <s v="Gender diversity"/>
        <s v="Team diversity"/>
        <s v="Gender equality"/>
        <s v="Workforce gender diversity"/>
        <s v="Service sector"/>
        <s v="Women in executive roles"/>
        <s v="Career progression"/>
        <s v="Employee loyalty"/>
        <s v="Mental health"/>
        <s v="Decision making"/>
        <s v="Mixed-gender collaboration"/>
        <s v="Research productivity"/>
        <s v="Collaboration"/>
        <s v="Remote work"/>
        <s v="Diversity"/>
        <s v="Financial performance"/>
        <s v="Belongingness"/>
        <s v="Female workforce participation"/>
      </sharedItems>
    </cacheField>
    <cacheField name="Key Finding" numFmtId="0">
      <sharedItems/>
    </cacheField>
    <cacheField name="Business Impact" numFmtId="0">
      <sharedItems count="19">
        <s v="Better retention"/>
        <s v="Higher profitability"/>
        <s v="Higher revenue"/>
        <s v="Higher profit"/>
        <s v="Higher engagement"/>
        <s v="Higher productivity"/>
        <s v="Better efficiency"/>
        <s v="Better financial results"/>
        <s v="Leadership pipeline issue"/>
        <s v="Lower turnover"/>
        <s v="Better decisions"/>
        <s v="Greater innovation"/>
        <s v="Role-specific differences"/>
        <s v="Collaboration drives success"/>
        <s v="Work-life balance matters"/>
        <s v="Sustainable growth"/>
        <s v="Sales growth"/>
        <s v="Better employee engagement"/>
        <s v="Reliable evidence"/>
      </sharedItems>
    </cacheField>
  </cacheFields>
  <extLst>
    <ext xmlns:x14="http://schemas.microsoft.com/office/spreadsheetml/2009/9/main" uri="{725AE2AE-9491-48be-B2B4-4EB974FC3084}">
      <x14:pivotCacheDefinition pivotCacheId="674525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x v="0"/>
    <s v="Inclusive organizations improve employee experience and advancement. (McKinsey &amp; Company)"/>
    <x v="0"/>
  </r>
  <r>
    <x v="1"/>
    <x v="1"/>
    <x v="1"/>
    <x v="1"/>
    <x v="0"/>
    <x v="1"/>
    <x v="1"/>
    <s v="Top-quartile gender-diverse executive teams were more likely to outperform financially. (McKinsey &amp; Company)"/>
    <x v="1"/>
  </r>
  <r>
    <x v="2"/>
    <x v="2"/>
    <x v="2"/>
    <x v="0"/>
    <x v="1"/>
    <x v="2"/>
    <x v="2"/>
    <s v="Gender-diverse business units generated higher revenue. (Gallup.com)"/>
    <x v="2"/>
  </r>
  <r>
    <x v="3"/>
    <x v="2"/>
    <x v="2"/>
    <x v="0"/>
    <x v="2"/>
    <x v="2"/>
    <x v="3"/>
    <s v="Gender-diverse teams earned higher quarterly profit. (Gallup.com)"/>
    <x v="3"/>
  </r>
  <r>
    <x v="4"/>
    <x v="3"/>
    <x v="0"/>
    <x v="1"/>
    <x v="0"/>
    <x v="3"/>
    <x v="4"/>
    <s v="Employees in gender-equal organizations reported higher productivity and motivation. (Deloitte)"/>
    <x v="4"/>
  </r>
  <r>
    <x v="5"/>
    <x v="4"/>
    <x v="3"/>
    <x v="2"/>
    <x v="0"/>
    <x v="4"/>
    <x v="5"/>
    <s v="Gender diversity positively associated with productivity, especially in services. (Wiley Online Library)"/>
    <x v="5"/>
  </r>
  <r>
    <x v="6"/>
    <x v="4"/>
    <x v="3"/>
    <x v="2"/>
    <x v="3"/>
    <x v="5"/>
    <x v="6"/>
    <s v="Stronger productivity gains observed in service firms. (Wiley Online Library)"/>
    <x v="6"/>
  </r>
  <r>
    <x v="7"/>
    <x v="5"/>
    <x v="1"/>
    <x v="1"/>
    <x v="0"/>
    <x v="6"/>
    <x v="7"/>
    <s v="More women in line (revenue-generating) roles linked with stronger performance. (McKinsey &amp; Company)"/>
    <x v="7"/>
  </r>
  <r>
    <x v="8"/>
    <x v="6"/>
    <x v="0"/>
    <x v="0"/>
    <x v="4"/>
    <x v="7"/>
    <x v="8"/>
    <s v="Women's representation declines at higher management levels. (McKinsey &amp; Company)"/>
    <x v="8"/>
  </r>
  <r>
    <x v="9"/>
    <x v="7"/>
    <x v="0"/>
    <x v="1"/>
    <x v="0"/>
    <x v="8"/>
    <x v="9"/>
    <s v="Inclusive workplaces significantly improve loyalty. (Deloitte)"/>
    <x v="9"/>
  </r>
  <r>
    <x v="10"/>
    <x v="7"/>
    <x v="0"/>
    <x v="1"/>
    <x v="0"/>
    <x v="8"/>
    <x v="10"/>
    <s v="Better support improves employee motivation. (Deloitte)"/>
    <x v="5"/>
  </r>
  <r>
    <x v="11"/>
    <x v="2"/>
    <x v="2"/>
    <x v="0"/>
    <x v="0"/>
    <x v="9"/>
    <x v="11"/>
    <s v="Diverse teams bring broader viewpoints and better problem-solving. (Gallup.com)"/>
    <x v="10"/>
  </r>
  <r>
    <x v="12"/>
    <x v="8"/>
    <x v="4"/>
    <x v="1"/>
    <x v="5"/>
    <x v="10"/>
    <x v="12"/>
    <s v="Mixed-gender research teams receive higher citation impact. (arXiv)"/>
    <x v="11"/>
  </r>
  <r>
    <x v="13"/>
    <x v="9"/>
    <x v="1"/>
    <x v="3"/>
    <x v="5"/>
    <x v="11"/>
    <x v="13"/>
    <s v="Productivity gaps exist in some fields but vary substantially by discipline. (arXiv)"/>
    <x v="12"/>
  </r>
  <r>
    <x v="14"/>
    <x v="10"/>
    <x v="5"/>
    <x v="1"/>
    <x v="5"/>
    <x v="12"/>
    <x v="14"/>
    <s v="Successful men and women share similar collaboration patterns. (arXiv)"/>
    <x v="13"/>
  </r>
  <r>
    <x v="15"/>
    <x v="11"/>
    <x v="4"/>
    <x v="4"/>
    <x v="5"/>
    <x v="13"/>
    <x v="15"/>
    <s v="Pandemic disproportionately reduced women's research productivity because of external pressures. (arXiv)"/>
    <x v="14"/>
  </r>
  <r>
    <x v="16"/>
    <x v="5"/>
    <x v="1"/>
    <x v="1"/>
    <x v="0"/>
    <x v="6"/>
    <x v="16"/>
    <s v="Diversity is associated with stronger long-term value creation. (McKinsey &amp; Company)"/>
    <x v="15"/>
  </r>
  <r>
    <x v="17"/>
    <x v="2"/>
    <x v="2"/>
    <x v="5"/>
    <x v="6"/>
    <x v="9"/>
    <x v="17"/>
    <s v="Diverse retail teams achieved stronger comparable revenue. (Gallup.com)"/>
    <x v="16"/>
  </r>
  <r>
    <x v="18"/>
    <x v="7"/>
    <x v="0"/>
    <x v="1"/>
    <x v="0"/>
    <x v="8"/>
    <x v="18"/>
    <s v="Greater belonging is linked with higher motivation and productivity. (Deloitte)"/>
    <x v="17"/>
  </r>
  <r>
    <x v="19"/>
    <x v="4"/>
    <x v="3"/>
    <x v="2"/>
    <x v="0"/>
    <x v="5"/>
    <x v="19"/>
    <s v="Positive productivity effects remained after robustness checks. (Wiley Online Library)"/>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CBE310-2150-4444-A925-B74D25A4BC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rowPageCount="1" colPageCount="1"/>
  <pivotFields count="9">
    <pivotField dataField="1" showAll="0">
      <items count="21">
        <item x="0"/>
        <item x="1"/>
        <item x="2"/>
        <item x="3"/>
        <item x="4"/>
        <item x="5"/>
        <item x="6"/>
        <item x="7"/>
        <item x="8"/>
        <item x="9"/>
        <item x="10"/>
        <item x="11"/>
        <item x="12"/>
        <item x="13"/>
        <item x="14"/>
        <item x="15"/>
        <item x="16"/>
        <item x="17"/>
        <item x="18"/>
        <item x="19"/>
        <item t="default"/>
      </items>
    </pivotField>
    <pivotField showAll="0"/>
    <pivotField axis="axisPage" showAll="0">
      <items count="7">
        <item x="2"/>
        <item x="5"/>
        <item x="1"/>
        <item x="4"/>
        <item x="0"/>
        <item x="3"/>
        <item t="default"/>
      </items>
    </pivotField>
    <pivotField showAll="0">
      <items count="7">
        <item x="4"/>
        <item x="1"/>
        <item x="2"/>
        <item x="3"/>
        <item x="5"/>
        <item x="0"/>
        <item t="default"/>
      </items>
    </pivotField>
    <pivotField axis="axisRow" showAll="0">
      <items count="8">
        <item x="5"/>
        <item x="4"/>
        <item x="2"/>
        <item x="0"/>
        <item x="1"/>
        <item x="3"/>
        <item x="6"/>
        <item t="default"/>
      </items>
    </pivotField>
    <pivotField showAll="0"/>
    <pivotField showAll="0"/>
    <pivotField showAll="0"/>
    <pivotField showAll="0"/>
  </pivotFields>
  <rowFields count="1">
    <field x="4"/>
  </rowFields>
  <rowItems count="3">
    <i>
      <x v="3"/>
    </i>
    <i>
      <x v="5"/>
    </i>
    <i t="grand">
      <x/>
    </i>
  </rowItems>
  <colItems count="1">
    <i/>
  </colItems>
  <pageFields count="1">
    <pageField fld="2" item="5" hier="-1"/>
  </pageFields>
  <dataFields count="1">
    <dataField name="Count of Study ID"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AB05D7-F852-404E-8E99-9B3C6DABFF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rowPageCount="1" colPageCount="1"/>
  <pivotFields count="9">
    <pivotField dataField="1" showAll="0">
      <items count="21">
        <item x="0"/>
        <item x="1"/>
        <item x="2"/>
        <item x="3"/>
        <item x="4"/>
        <item x="5"/>
        <item x="6"/>
        <item x="7"/>
        <item x="8"/>
        <item x="9"/>
        <item x="10"/>
        <item x="11"/>
        <item x="12"/>
        <item x="13"/>
        <item x="14"/>
        <item x="15"/>
        <item x="16"/>
        <item x="17"/>
        <item x="18"/>
        <item x="19"/>
        <item t="default"/>
      </items>
    </pivotField>
    <pivotField showAll="0">
      <items count="13">
        <item x="10"/>
        <item x="11"/>
        <item x="7"/>
        <item x="3"/>
        <item x="2"/>
        <item x="8"/>
        <item x="9"/>
        <item x="4"/>
        <item x="5"/>
        <item x="1"/>
        <item x="0"/>
        <item x="6"/>
        <item t="default"/>
      </items>
    </pivotField>
    <pivotField showAll="0"/>
    <pivotField axis="axisRow" showAll="0">
      <items count="7">
        <item x="4"/>
        <item x="1"/>
        <item x="2"/>
        <item x="3"/>
        <item x="5"/>
        <item x="0"/>
        <item t="default"/>
      </items>
    </pivotField>
    <pivotField axis="axisPage" showAll="0">
      <items count="8">
        <item x="5"/>
        <item x="4"/>
        <item x="2"/>
        <item x="0"/>
        <item x="1"/>
        <item x="3"/>
        <item x="6"/>
        <item t="default"/>
      </items>
    </pivotField>
    <pivotField showAll="0"/>
    <pivotField showAll="0">
      <items count="21">
        <item x="18"/>
        <item x="8"/>
        <item x="14"/>
        <item x="11"/>
        <item x="16"/>
        <item x="9"/>
        <item x="1"/>
        <item x="19"/>
        <item x="17"/>
        <item x="2"/>
        <item x="4"/>
        <item x="10"/>
        <item x="12"/>
        <item x="15"/>
        <item x="13"/>
        <item x="6"/>
        <item x="3"/>
        <item x="7"/>
        <item x="0"/>
        <item x="5"/>
        <item t="default"/>
      </items>
    </pivotField>
    <pivotField showAll="0"/>
    <pivotField showAll="0">
      <items count="20">
        <item h="1" x="10"/>
        <item h="1" x="6"/>
        <item x="17"/>
        <item h="1" x="7"/>
        <item h="1" x="0"/>
        <item h="1" x="13"/>
        <item h="1" x="11"/>
        <item h="1" x="4"/>
        <item h="1" x="5"/>
        <item h="1" x="3"/>
        <item h="1" x="1"/>
        <item h="1" x="2"/>
        <item h="1" x="8"/>
        <item h="1" x="9"/>
        <item h="1" x="18"/>
        <item h="1" x="12"/>
        <item h="1" x="16"/>
        <item h="1" x="15"/>
        <item h="1" x="14"/>
        <item t="default"/>
      </items>
    </pivotField>
  </pivotFields>
  <rowFields count="1">
    <field x="3"/>
  </rowFields>
  <rowItems count="2">
    <i>
      <x v="1"/>
    </i>
    <i t="grand">
      <x/>
    </i>
  </rowItems>
  <colItems count="1">
    <i/>
  </colItems>
  <pageFields count="1">
    <pageField fld="4" hier="-1"/>
  </pageFields>
  <dataFields count="1">
    <dataField name="Count of Study ID" fld="0" subtotal="count" baseField="0" baseItem="0"/>
  </dataFields>
  <chartFormats count="14">
    <chartFormat chart="0" format="21" series="1">
      <pivotArea type="data" outline="0" fieldPosition="0">
        <references count="1">
          <reference field="4294967294" count="1" selected="0">
            <x v="0"/>
          </reference>
        </references>
      </pivotArea>
    </chartFormat>
    <chartFormat chart="2" format="29" series="1">
      <pivotArea type="data" outline="0" fieldPosition="0">
        <references count="1">
          <reference field="4294967294" count="1" selected="0">
            <x v="0"/>
          </reference>
        </references>
      </pivotArea>
    </chartFormat>
    <chartFormat chart="2" format="30">
      <pivotArea type="data" outline="0" fieldPosition="0">
        <references count="2">
          <reference field="4294967294" count="1" selected="0">
            <x v="0"/>
          </reference>
          <reference field="3" count="1" selected="0">
            <x v="0"/>
          </reference>
        </references>
      </pivotArea>
    </chartFormat>
    <chartFormat chart="2" format="31">
      <pivotArea type="data" outline="0" fieldPosition="0">
        <references count="2">
          <reference field="4294967294" count="1" selected="0">
            <x v="0"/>
          </reference>
          <reference field="3" count="1" selected="0">
            <x v="1"/>
          </reference>
        </references>
      </pivotArea>
    </chartFormat>
    <chartFormat chart="2" format="32">
      <pivotArea type="data" outline="0" fieldPosition="0">
        <references count="2">
          <reference field="4294967294" count="1" selected="0">
            <x v="0"/>
          </reference>
          <reference field="3" count="1" selected="0">
            <x v="2"/>
          </reference>
        </references>
      </pivotArea>
    </chartFormat>
    <chartFormat chart="2" format="33">
      <pivotArea type="data" outline="0" fieldPosition="0">
        <references count="2">
          <reference field="4294967294" count="1" selected="0">
            <x v="0"/>
          </reference>
          <reference field="3" count="1" selected="0">
            <x v="3"/>
          </reference>
        </references>
      </pivotArea>
    </chartFormat>
    <chartFormat chart="2" format="34">
      <pivotArea type="data" outline="0" fieldPosition="0">
        <references count="2">
          <reference field="4294967294" count="1" selected="0">
            <x v="0"/>
          </reference>
          <reference field="3" count="1" selected="0">
            <x v="4"/>
          </reference>
        </references>
      </pivotArea>
    </chartFormat>
    <chartFormat chart="2" format="35">
      <pivotArea type="data" outline="0" fieldPosition="0">
        <references count="2">
          <reference field="4294967294" count="1" selected="0">
            <x v="0"/>
          </reference>
          <reference field="3" count="1" selected="0">
            <x v="5"/>
          </reference>
        </references>
      </pivotArea>
    </chartFormat>
    <chartFormat chart="0" format="33">
      <pivotArea type="data" outline="0" fieldPosition="0">
        <references count="2">
          <reference field="4294967294" count="1" selected="0">
            <x v="0"/>
          </reference>
          <reference field="3" count="1" selected="0">
            <x v="0"/>
          </reference>
        </references>
      </pivotArea>
    </chartFormat>
    <chartFormat chart="0" format="34">
      <pivotArea type="data" outline="0" fieldPosition="0">
        <references count="2">
          <reference field="4294967294" count="1" selected="0">
            <x v="0"/>
          </reference>
          <reference field="3" count="1" selected="0">
            <x v="1"/>
          </reference>
        </references>
      </pivotArea>
    </chartFormat>
    <chartFormat chart="0" format="35">
      <pivotArea type="data" outline="0" fieldPosition="0">
        <references count="2">
          <reference field="4294967294" count="1" selected="0">
            <x v="0"/>
          </reference>
          <reference field="3" count="1" selected="0">
            <x v="2"/>
          </reference>
        </references>
      </pivotArea>
    </chartFormat>
    <chartFormat chart="0" format="36">
      <pivotArea type="data" outline="0" fieldPosition="0">
        <references count="2">
          <reference field="4294967294" count="1" selected="0">
            <x v="0"/>
          </reference>
          <reference field="3" count="1" selected="0">
            <x v="3"/>
          </reference>
        </references>
      </pivotArea>
    </chartFormat>
    <chartFormat chart="0" format="37">
      <pivotArea type="data" outline="0" fieldPosition="0">
        <references count="2">
          <reference field="4294967294" count="1" selected="0">
            <x v="0"/>
          </reference>
          <reference field="3" count="1" selected="0">
            <x v="4"/>
          </reference>
        </references>
      </pivotArea>
    </chartFormat>
    <chartFormat chart="0" format="3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0796F2-352C-4D59-8944-5FA097DCC2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5" firstHeaderRow="1" firstDataRow="1" firstDataCol="1" rowPageCount="1" colPageCount="1"/>
  <pivotFields count="9">
    <pivotField dataField="1" showAll="0"/>
    <pivotField showAll="0"/>
    <pivotField showAll="0"/>
    <pivotField axis="axisPage" showAll="0">
      <items count="7">
        <item x="4"/>
        <item x="1"/>
        <item x="2"/>
        <item x="3"/>
        <item x="5"/>
        <item x="0"/>
        <item t="default"/>
      </items>
    </pivotField>
    <pivotField showAll="0"/>
    <pivotField showAll="0"/>
    <pivotField showAll="0">
      <items count="21">
        <item h="1" x="18"/>
        <item x="8"/>
        <item h="1" x="14"/>
        <item h="1" x="11"/>
        <item h="1" x="16"/>
        <item h="1" x="9"/>
        <item h="1" x="1"/>
        <item h="1" x="19"/>
        <item h="1" x="17"/>
        <item h="1" x="2"/>
        <item h="1" x="4"/>
        <item h="1" x="10"/>
        <item h="1" x="12"/>
        <item h="1" x="15"/>
        <item h="1" x="13"/>
        <item h="1" x="6"/>
        <item h="1" x="3"/>
        <item h="1" x="7"/>
        <item h="1" x="0"/>
        <item h="1" x="5"/>
        <item t="default"/>
      </items>
    </pivotField>
    <pivotField showAll="0"/>
    <pivotField axis="axisRow" showAll="0">
      <items count="20">
        <item x="10"/>
        <item x="6"/>
        <item x="17"/>
        <item x="7"/>
        <item x="0"/>
        <item x="13"/>
        <item x="11"/>
        <item x="4"/>
        <item x="5"/>
        <item x="3"/>
        <item x="1"/>
        <item x="2"/>
        <item x="8"/>
        <item x="9"/>
        <item x="18"/>
        <item x="12"/>
        <item x="16"/>
        <item x="15"/>
        <item x="14"/>
        <item t="default"/>
      </items>
    </pivotField>
  </pivotFields>
  <rowFields count="1">
    <field x="8"/>
  </rowFields>
  <rowItems count="2">
    <i>
      <x v="12"/>
    </i>
    <i t="grand">
      <x/>
    </i>
  </rowItems>
  <colItems count="1">
    <i/>
  </colItems>
  <pageFields count="1">
    <pageField fld="3" hier="-1"/>
  </pageFields>
  <dataFields count="1">
    <dataField name="Count of Study ID" fld="0" subtotal="count" baseField="8" baseItem="0"/>
  </dataFields>
  <chartFormats count="40">
    <chartFormat chart="0" format="0"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8" count="1" selected="0">
            <x v="0"/>
          </reference>
        </references>
      </pivotArea>
    </chartFormat>
    <chartFormat chart="2" format="23">
      <pivotArea type="data" outline="0" fieldPosition="0">
        <references count="2">
          <reference field="4294967294" count="1" selected="0">
            <x v="0"/>
          </reference>
          <reference field="8" count="1" selected="0">
            <x v="1"/>
          </reference>
        </references>
      </pivotArea>
    </chartFormat>
    <chartFormat chart="2" format="24">
      <pivotArea type="data" outline="0" fieldPosition="0">
        <references count="2">
          <reference field="4294967294" count="1" selected="0">
            <x v="0"/>
          </reference>
          <reference field="8" count="1" selected="0">
            <x v="2"/>
          </reference>
        </references>
      </pivotArea>
    </chartFormat>
    <chartFormat chart="2" format="25">
      <pivotArea type="data" outline="0" fieldPosition="0">
        <references count="2">
          <reference field="4294967294" count="1" selected="0">
            <x v="0"/>
          </reference>
          <reference field="8" count="1" selected="0">
            <x v="3"/>
          </reference>
        </references>
      </pivotArea>
    </chartFormat>
    <chartFormat chart="2" format="26">
      <pivotArea type="data" outline="0" fieldPosition="0">
        <references count="2">
          <reference field="4294967294" count="1" selected="0">
            <x v="0"/>
          </reference>
          <reference field="8" count="1" selected="0">
            <x v="4"/>
          </reference>
        </references>
      </pivotArea>
    </chartFormat>
    <chartFormat chart="2" format="27">
      <pivotArea type="data" outline="0" fieldPosition="0">
        <references count="2">
          <reference field="4294967294" count="1" selected="0">
            <x v="0"/>
          </reference>
          <reference field="8" count="1" selected="0">
            <x v="5"/>
          </reference>
        </references>
      </pivotArea>
    </chartFormat>
    <chartFormat chart="2" format="28">
      <pivotArea type="data" outline="0" fieldPosition="0">
        <references count="2">
          <reference field="4294967294" count="1" selected="0">
            <x v="0"/>
          </reference>
          <reference field="8" count="1" selected="0">
            <x v="6"/>
          </reference>
        </references>
      </pivotArea>
    </chartFormat>
    <chartFormat chart="2" format="29">
      <pivotArea type="data" outline="0" fieldPosition="0">
        <references count="2">
          <reference field="4294967294" count="1" selected="0">
            <x v="0"/>
          </reference>
          <reference field="8" count="1" selected="0">
            <x v="7"/>
          </reference>
        </references>
      </pivotArea>
    </chartFormat>
    <chartFormat chart="2" format="30">
      <pivotArea type="data" outline="0" fieldPosition="0">
        <references count="2">
          <reference field="4294967294" count="1" selected="0">
            <x v="0"/>
          </reference>
          <reference field="8" count="1" selected="0">
            <x v="8"/>
          </reference>
        </references>
      </pivotArea>
    </chartFormat>
    <chartFormat chart="2" format="31">
      <pivotArea type="data" outline="0" fieldPosition="0">
        <references count="2">
          <reference field="4294967294" count="1" selected="0">
            <x v="0"/>
          </reference>
          <reference field="8" count="1" selected="0">
            <x v="9"/>
          </reference>
        </references>
      </pivotArea>
    </chartFormat>
    <chartFormat chart="2" format="32">
      <pivotArea type="data" outline="0" fieldPosition="0">
        <references count="2">
          <reference field="4294967294" count="1" selected="0">
            <x v="0"/>
          </reference>
          <reference field="8" count="1" selected="0">
            <x v="10"/>
          </reference>
        </references>
      </pivotArea>
    </chartFormat>
    <chartFormat chart="2" format="33">
      <pivotArea type="data" outline="0" fieldPosition="0">
        <references count="2">
          <reference field="4294967294" count="1" selected="0">
            <x v="0"/>
          </reference>
          <reference field="8" count="1" selected="0">
            <x v="11"/>
          </reference>
        </references>
      </pivotArea>
    </chartFormat>
    <chartFormat chart="2" format="34">
      <pivotArea type="data" outline="0" fieldPosition="0">
        <references count="2">
          <reference field="4294967294" count="1" selected="0">
            <x v="0"/>
          </reference>
          <reference field="8" count="1" selected="0">
            <x v="12"/>
          </reference>
        </references>
      </pivotArea>
    </chartFormat>
    <chartFormat chart="2" format="35">
      <pivotArea type="data" outline="0" fieldPosition="0">
        <references count="2">
          <reference field="4294967294" count="1" selected="0">
            <x v="0"/>
          </reference>
          <reference field="8" count="1" selected="0">
            <x v="13"/>
          </reference>
        </references>
      </pivotArea>
    </chartFormat>
    <chartFormat chart="2" format="36">
      <pivotArea type="data" outline="0" fieldPosition="0">
        <references count="2">
          <reference field="4294967294" count="1" selected="0">
            <x v="0"/>
          </reference>
          <reference field="8" count="1" selected="0">
            <x v="14"/>
          </reference>
        </references>
      </pivotArea>
    </chartFormat>
    <chartFormat chart="2" format="37">
      <pivotArea type="data" outline="0" fieldPosition="0">
        <references count="2">
          <reference field="4294967294" count="1" selected="0">
            <x v="0"/>
          </reference>
          <reference field="8" count="1" selected="0">
            <x v="15"/>
          </reference>
        </references>
      </pivotArea>
    </chartFormat>
    <chartFormat chart="2" format="38">
      <pivotArea type="data" outline="0" fieldPosition="0">
        <references count="2">
          <reference field="4294967294" count="1" selected="0">
            <x v="0"/>
          </reference>
          <reference field="8" count="1" selected="0">
            <x v="16"/>
          </reference>
        </references>
      </pivotArea>
    </chartFormat>
    <chartFormat chart="2" format="39">
      <pivotArea type="data" outline="0" fieldPosition="0">
        <references count="2">
          <reference field="4294967294" count="1" selected="0">
            <x v="0"/>
          </reference>
          <reference field="8" count="1" selected="0">
            <x v="17"/>
          </reference>
        </references>
      </pivotArea>
    </chartFormat>
    <chartFormat chart="2" format="40">
      <pivotArea type="data" outline="0" fieldPosition="0">
        <references count="2">
          <reference field="4294967294" count="1" selected="0">
            <x v="0"/>
          </reference>
          <reference field="8" count="1" selected="0">
            <x v="18"/>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0" format="8">
      <pivotArea type="data" outline="0" fieldPosition="0">
        <references count="2">
          <reference field="4294967294" count="1" selected="0">
            <x v="0"/>
          </reference>
          <reference field="8" count="1" selected="0">
            <x v="7"/>
          </reference>
        </references>
      </pivotArea>
    </chartFormat>
    <chartFormat chart="0" format="9">
      <pivotArea type="data" outline="0" fieldPosition="0">
        <references count="2">
          <reference field="4294967294" count="1" selected="0">
            <x v="0"/>
          </reference>
          <reference field="8" count="1" selected="0">
            <x v="8"/>
          </reference>
        </references>
      </pivotArea>
    </chartFormat>
    <chartFormat chart="0" format="10">
      <pivotArea type="data" outline="0" fieldPosition="0">
        <references count="2">
          <reference field="4294967294" count="1" selected="0">
            <x v="0"/>
          </reference>
          <reference field="8" count="1" selected="0">
            <x v="9"/>
          </reference>
        </references>
      </pivotArea>
    </chartFormat>
    <chartFormat chart="0" format="11">
      <pivotArea type="data" outline="0" fieldPosition="0">
        <references count="2">
          <reference field="4294967294" count="1" selected="0">
            <x v="0"/>
          </reference>
          <reference field="8" count="1" selected="0">
            <x v="10"/>
          </reference>
        </references>
      </pivotArea>
    </chartFormat>
    <chartFormat chart="0" format="12">
      <pivotArea type="data" outline="0" fieldPosition="0">
        <references count="2">
          <reference field="4294967294" count="1" selected="0">
            <x v="0"/>
          </reference>
          <reference field="8" count="1" selected="0">
            <x v="11"/>
          </reference>
        </references>
      </pivotArea>
    </chartFormat>
    <chartFormat chart="0" format="13">
      <pivotArea type="data" outline="0" fieldPosition="0">
        <references count="2">
          <reference field="4294967294" count="1" selected="0">
            <x v="0"/>
          </reference>
          <reference field="8" count="1" selected="0">
            <x v="12"/>
          </reference>
        </references>
      </pivotArea>
    </chartFormat>
    <chartFormat chart="0" format="14">
      <pivotArea type="data" outline="0" fieldPosition="0">
        <references count="2">
          <reference field="4294967294" count="1" selected="0">
            <x v="0"/>
          </reference>
          <reference field="8" count="1" selected="0">
            <x v="13"/>
          </reference>
        </references>
      </pivotArea>
    </chartFormat>
    <chartFormat chart="0" format="15">
      <pivotArea type="data" outline="0" fieldPosition="0">
        <references count="2">
          <reference field="4294967294" count="1" selected="0">
            <x v="0"/>
          </reference>
          <reference field="8" count="1" selected="0">
            <x v="14"/>
          </reference>
        </references>
      </pivotArea>
    </chartFormat>
    <chartFormat chart="0" format="16">
      <pivotArea type="data" outline="0" fieldPosition="0">
        <references count="2">
          <reference field="4294967294" count="1" selected="0">
            <x v="0"/>
          </reference>
          <reference field="8" count="1" selected="0">
            <x v="15"/>
          </reference>
        </references>
      </pivotArea>
    </chartFormat>
    <chartFormat chart="0" format="17">
      <pivotArea type="data" outline="0" fieldPosition="0">
        <references count="2">
          <reference field="4294967294" count="1" selected="0">
            <x v="0"/>
          </reference>
          <reference field="8" count="1" selected="0">
            <x v="16"/>
          </reference>
        </references>
      </pivotArea>
    </chartFormat>
    <chartFormat chart="0" format="18">
      <pivotArea type="data" outline="0" fieldPosition="0">
        <references count="2">
          <reference field="4294967294" count="1" selected="0">
            <x v="0"/>
          </reference>
          <reference field="8" count="1" selected="0">
            <x v="17"/>
          </reference>
        </references>
      </pivotArea>
    </chartFormat>
    <chartFormat chart="0" format="19">
      <pivotArea type="data" outline="0" fieldPosition="0">
        <references count="2">
          <reference field="4294967294" count="1" selected="0">
            <x v="0"/>
          </reference>
          <reference field="8"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CC150-5EB2-4036-92F2-52CFDE8F62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7" firstHeaderRow="1" firstDataRow="1" firstDataCol="1" rowPageCount="1" colPageCount="1"/>
  <pivotFields count="9">
    <pivotField dataField="1" showAll="0">
      <items count="21">
        <item x="0"/>
        <item x="1"/>
        <item h="1" x="2"/>
        <item h="1" x="3"/>
        <item h="1" x="4"/>
        <item h="1" x="5"/>
        <item h="1" x="6"/>
        <item h="1" x="7"/>
        <item h="1" x="8"/>
        <item h="1" x="9"/>
        <item h="1" x="10"/>
        <item h="1" x="11"/>
        <item h="1" x="12"/>
        <item h="1" x="13"/>
        <item h="1" x="14"/>
        <item h="1" x="15"/>
        <item h="1" x="16"/>
        <item h="1" x="17"/>
        <item h="1" x="18"/>
        <item h="1" x="19"/>
        <item t="default"/>
      </items>
    </pivotField>
    <pivotField showAll="0"/>
    <pivotField showAll="0"/>
    <pivotField showAll="0">
      <items count="7">
        <item x="4"/>
        <item x="1"/>
        <item x="2"/>
        <item x="3"/>
        <item x="5"/>
        <item x="0"/>
        <item t="default"/>
      </items>
    </pivotField>
    <pivotField showAll="0">
      <items count="8">
        <item x="5"/>
        <item x="4"/>
        <item x="2"/>
        <item x="0"/>
        <item x="1"/>
        <item x="3"/>
        <item x="6"/>
        <item t="default"/>
      </items>
    </pivotField>
    <pivotField axis="axisPage" showAll="0">
      <items count="15">
        <item x="1"/>
        <item x="12"/>
        <item x="0"/>
        <item x="10"/>
        <item x="7"/>
        <item x="8"/>
        <item x="3"/>
        <item x="13"/>
        <item x="2"/>
        <item x="9"/>
        <item x="5"/>
        <item x="4"/>
        <item x="6"/>
        <item x="11"/>
        <item t="default"/>
      </items>
    </pivotField>
    <pivotField axis="axisRow" showAll="0">
      <items count="21">
        <item x="18"/>
        <item x="8"/>
        <item x="14"/>
        <item x="11"/>
        <item x="16"/>
        <item x="9"/>
        <item x="1"/>
        <item x="19"/>
        <item x="17"/>
        <item x="2"/>
        <item x="4"/>
        <item x="10"/>
        <item x="12"/>
        <item x="15"/>
        <item x="13"/>
        <item x="6"/>
        <item x="3"/>
        <item x="7"/>
        <item x="0"/>
        <item x="5"/>
        <item t="default"/>
      </items>
    </pivotField>
    <pivotField showAll="0"/>
    <pivotField showAll="0"/>
  </pivotFields>
  <rowFields count="1">
    <field x="6"/>
  </rowFields>
  <rowItems count="3">
    <i>
      <x v="6"/>
    </i>
    <i>
      <x v="18"/>
    </i>
    <i t="grand">
      <x/>
    </i>
  </rowItems>
  <colItems count="1">
    <i/>
  </colItems>
  <pageFields count="1">
    <pageField fld="5" hier="-1"/>
  </pageFields>
  <dataFields count="1">
    <dataField name="Count of Study ID" fld="0" subtotal="count"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9CB65D-1FCA-4240-9407-F729C3F533E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rowPageCount="1" colPageCount="1"/>
  <pivotFields count="9">
    <pivotField dataField="1" showAll="0"/>
    <pivotField showAll="0"/>
    <pivotField axis="axisRow" showAll="0">
      <items count="7">
        <item h="1" x="2"/>
        <item h="1" x="5"/>
        <item h="1" x="1"/>
        <item h="1" x="4"/>
        <item x="0"/>
        <item h="1" x="3"/>
        <item t="default"/>
      </items>
    </pivotField>
    <pivotField showAll="0">
      <items count="7">
        <item x="4"/>
        <item x="1"/>
        <item x="2"/>
        <item x="3"/>
        <item x="5"/>
        <item x="0"/>
        <item t="default"/>
      </items>
    </pivotField>
    <pivotField showAll="0">
      <items count="8">
        <item x="5"/>
        <item x="4"/>
        <item x="2"/>
        <item x="0"/>
        <item x="1"/>
        <item x="3"/>
        <item x="6"/>
        <item t="default"/>
      </items>
    </pivotField>
    <pivotField showAll="0"/>
    <pivotField showAll="0"/>
    <pivotField showAll="0"/>
    <pivotField axis="axisPage" showAll="0">
      <items count="20">
        <item x="10"/>
        <item x="6"/>
        <item x="17"/>
        <item x="7"/>
        <item x="0"/>
        <item x="13"/>
        <item x="11"/>
        <item x="4"/>
        <item x="5"/>
        <item x="3"/>
        <item x="1"/>
        <item x="2"/>
        <item x="8"/>
        <item x="9"/>
        <item x="18"/>
        <item x="12"/>
        <item x="16"/>
        <item x="15"/>
        <item x="14"/>
        <item t="default"/>
      </items>
    </pivotField>
  </pivotFields>
  <rowFields count="1">
    <field x="2"/>
  </rowFields>
  <rowItems count="2">
    <i>
      <x v="4"/>
    </i>
    <i t="grand">
      <x/>
    </i>
  </rowItems>
  <colItems count="1">
    <i/>
  </colItems>
  <pageFields count="1">
    <pageField fld="8" hier="-1"/>
  </pageFields>
  <dataFields count="1">
    <dataField name="Count of Study ID" fld="0" subtotal="count" baseField="2"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E58B7F-879F-47FF-B167-4EEC3DB4F8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L19" firstHeaderRow="1" firstDataRow="1" firstDataCol="0"/>
  <pivotFields count="9">
    <pivotField showAll="0"/>
    <pivotField showAll="0"/>
    <pivotField showAll="0"/>
    <pivotField showAll="0">
      <items count="7">
        <item x="4"/>
        <item x="1"/>
        <item x="2"/>
        <item x="3"/>
        <item x="5"/>
        <item x="0"/>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927120E-D1DD-4AE5-861A-0462237FA598}" sourceName="Year">
  <pivotTables>
    <pivotTable tabId="4" name="PivotTable3"/>
  </pivotTables>
  <data>
    <tabular pivotCacheId="674525996">
      <items count="6">
        <i x="2"/>
        <i x="5"/>
        <i x="1"/>
        <i x="4"/>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C280AE2-1445-4966-AD24-A5900D067C97}" sourceName="Industry">
  <pivotTables>
    <pivotTable tabId="4" name="PivotTable3"/>
  </pivotTables>
  <data>
    <tabular pivotCacheId="674525996">
      <items count="7">
        <i x="0" s="1"/>
        <i x="3" s="1"/>
        <i x="5" s="1" nd="1"/>
        <i x="4" s="1" nd="1"/>
        <i x="2" s="1" nd="1"/>
        <i x="1"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E1549C1F-0B07-41D5-B85B-E1426C1345B8}" sourceName="Country/Region">
  <pivotTables>
    <pivotTable tabId="5" name="PivotTable4"/>
    <pivotTable tabId="3" name="PivotTable9"/>
    <pivotTable tabId="4" name="PivotTable3"/>
    <pivotTable tabId="6" name="PivotTable5"/>
    <pivotTable tabId="7" name="PivotTable7"/>
    <pivotTable tabId="8" name="PivotTable8"/>
  </pivotTables>
  <data>
    <tabular pivotCacheId="674525996">
      <items count="6">
        <i x="4" s="1"/>
        <i x="1" s="1"/>
        <i x="2" s="1"/>
        <i x="3"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earch_Focus" xr10:uid="{3C725490-F556-462C-8466-AE00705003C4}" sourceName="Research Focus">
  <pivotTables>
    <pivotTable tabId="5" name="PivotTable4"/>
  </pivotTables>
  <data>
    <tabular pivotCacheId="674525996">
      <items count="20">
        <i x="18" s="1"/>
        <i x="8" s="1" nd="1"/>
        <i x="14" s="1" nd="1"/>
        <i x="11" s="1" nd="1"/>
        <i x="16" s="1" nd="1"/>
        <i x="9" s="1" nd="1"/>
        <i x="1" s="1" nd="1"/>
        <i x="19" s="1" nd="1"/>
        <i x="17" s="1" nd="1"/>
        <i x="2" s="1" nd="1"/>
        <i x="4" s="1" nd="1"/>
        <i x="10" s="1" nd="1"/>
        <i x="12" s="1" nd="1"/>
        <i x="15" s="1" nd="1"/>
        <i x="13" s="1" nd="1"/>
        <i x="6" s="1" nd="1"/>
        <i x="3" s="1" nd="1"/>
        <i x="7" s="1" nd="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Impact" xr10:uid="{AC5BB411-AD1D-4D6C-BEE9-FDC82181E105}" sourceName="Business Impact">
  <pivotTables>
    <pivotTable tabId="5" name="PivotTable4"/>
  </pivotTables>
  <data>
    <tabular pivotCacheId="674525996">
      <items count="19">
        <i x="10"/>
        <i x="6"/>
        <i x="17" s="1"/>
        <i x="7"/>
        <i x="0"/>
        <i x="13"/>
        <i x="11"/>
        <i x="4"/>
        <i x="5"/>
        <i x="3"/>
        <i x="1"/>
        <i x="2"/>
        <i x="8"/>
        <i x="9"/>
        <i x="18"/>
        <i x="12"/>
        <i x="16"/>
        <i x="15"/>
        <i x="14"/>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8CFBD47-DEA8-4EDF-BDF3-DA47ED4BCA08}" sourceName="Year">
  <pivotTables>
    <pivotTable tabId="8" name="PivotTable8"/>
  </pivotTables>
  <data>
    <tabular pivotCacheId="674525996">
      <items count="6">
        <i x="2"/>
        <i x="5"/>
        <i x="1"/>
        <i x="4"/>
        <i x="0" s="1"/>
        <i x="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ID1" xr10:uid="{A8265B92-29D0-4FF4-9FE4-881B1D7D4E1C}" sourceName="Study ID">
  <pivotTables>
    <pivotTable tabId="7" name="PivotTable7"/>
  </pivotTables>
  <data>
    <tabular pivotCacheId="674525996">
      <items count="20">
        <i x="0" s="1"/>
        <i x="1" s="1"/>
        <i x="2"/>
        <i x="3"/>
        <i x="4"/>
        <i x="5"/>
        <i x="6"/>
        <i x="7"/>
        <i x="8"/>
        <i x="9"/>
        <i x="10"/>
        <i x="11"/>
        <i x="12"/>
        <i x="13"/>
        <i x="14"/>
        <i x="15"/>
        <i x="16"/>
        <i x="17"/>
        <i x="18"/>
        <i x="19"/>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earch_Focus1" xr10:uid="{CA43F63E-3D84-4B03-8643-94D93B8CDA01}" sourceName="Research Focus">
  <pivotTables>
    <pivotTable tabId="6" name="PivotTable5"/>
  </pivotTables>
  <data>
    <tabular pivotCacheId="674525996">
      <items count="20">
        <i x="18"/>
        <i x="8" s="1"/>
        <i x="14"/>
        <i x="11"/>
        <i x="16"/>
        <i x="9"/>
        <i x="1"/>
        <i x="19"/>
        <i x="17"/>
        <i x="2"/>
        <i x="4"/>
        <i x="10"/>
        <i x="12"/>
        <i x="15"/>
        <i x="13"/>
        <i x="6"/>
        <i x="3"/>
        <i x="7"/>
        <i x="0"/>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2" xr10:uid="{41C73B14-BC2A-4EB3-B7BA-5DA572B5910F}" cache="Slicer_Country_Region" caption="Country/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D434787-67E2-491D-8634-61A382A2A6AF}" cache="Slicer_Year" caption="Year" rowHeight="247650"/>
  <slicer name="Industry" xr10:uid="{D2FCD50E-1D0A-4557-B9C4-97B6AA9251BC}" cache="Slicer_Industry" caption="Industry" rowHeight="247650"/>
  <slicer name="Country/Region" xr10:uid="{059FF320-2735-4886-96F1-5196460B4614}" cache="Slicer_Country_Region" caption="Country/Region" rowHeight="247650"/>
  <slicer name="Research Focus" xr10:uid="{5A2AE289-7691-4B1C-9FBC-028A4750BDCE}" cache="Slicer_Research_Focus" caption="Research Focus" rowHeight="247650"/>
  <slicer name="Business Impact" xr10:uid="{7CBBFF0F-057E-4E6F-A0B2-F26DA71EA4A8}" cache="Slicer_Business_Impact" caption="Business Impac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1" xr10:uid="{7D16D027-3B23-4D67-9D94-54D48C59E79D}" cache="Slicer_Country_Region" caption="Country/Regi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earch Focus 1" xr10:uid="{50372A76-207E-4736-AEEA-97A4B1995FEB}" cache="Slicer_Research_Focus1" caption="Research Focus"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y ID 1" xr10:uid="{A42EC9B4-D046-4999-9C30-0DDE19A14723}" cache="Slicer_Study_ID1" caption="Study ID"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CCE7285-F650-40F0-9CD8-50FFBEEB93F4}" cache="Slicer_Year1"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514665-7294-4D49-BA55-DC579788704F}" name="Table1" displayName="Table1" ref="A1:I1048576" totalsRowShown="0" headerRowDxfId="0">
  <autoFilter ref="A1:I1048576" xr:uid="{27514665-7294-4D49-BA55-DC579788704F}"/>
  <tableColumns count="9">
    <tableColumn id="1" xr3:uid="{97E0D69F-B133-40BE-9D90-026A6E54086A}" name="Study ID"/>
    <tableColumn id="2" xr3:uid="{515EEF8B-5C04-4535-966C-BB5DD4E0720B}" name="Source"/>
    <tableColumn id="3" xr3:uid="{D6EEC9B4-1F47-4E8F-B209-4E7739662A15}" name="Year"/>
    <tableColumn id="4" xr3:uid="{D7CEE6A0-DA8F-4996-B8C3-3A94C86FBAEF}" name="Country/Region"/>
    <tableColumn id="5" xr3:uid="{ABDBAF6D-4061-4D20-B75D-1372B2E0DCA2}" name="Industry"/>
    <tableColumn id="6" xr3:uid="{C9D9572B-C8CD-486C-9814-DFCE140E28FF}" name="Sample/Scope"/>
    <tableColumn id="7" xr3:uid="{991B477C-DC87-4032-9375-F676F86466CD}" name="Research Focus"/>
    <tableColumn id="8" xr3:uid="{F3BA12BC-5255-4BA3-9B4F-724D86D16A3F}" name="Key Finding"/>
    <tableColumn id="9" xr3:uid="{53A48F96-7364-4EDA-A08C-60ECBC9237E3}" name="Business Impac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8" Type="http://schemas.openxmlformats.org/officeDocument/2006/relationships/hyperlink" Target="https://onlinelibrary.wiley.com/doi/10.1111/manc.70045?utm_source=chatgpt.com" TargetMode="External"/><Relationship Id="rId13" Type="http://schemas.openxmlformats.org/officeDocument/2006/relationships/hyperlink" Target="https://www.gallup.com/workplace/236543/business-benefits-gender-diversity.aspx?utm_source=chatgpt.com" TargetMode="External"/><Relationship Id="rId18" Type="http://schemas.openxmlformats.org/officeDocument/2006/relationships/hyperlink" Target="https://www.mckinsey.com/capabilities/people-and-organizational-performance/our-insights/delivering-through-diversity?cid=other-eml-shl-mip-mck-oth-1809&amp;utm_source=chatgpt.com" TargetMode="External"/><Relationship Id="rId3" Type="http://schemas.openxmlformats.org/officeDocument/2006/relationships/hyperlink" Target="https://www.mckinsey.com/capabilities/people-and-organizational-performance/our-insights/delivering-through-diversity?cid=other-eml-shl-mip-mck-oth-1809&amp;utm_source=chatgpt.com" TargetMode="External"/><Relationship Id="rId21" Type="http://schemas.openxmlformats.org/officeDocument/2006/relationships/hyperlink" Target="https://onlinelibrary.wiley.com/doi/10.1111/manc.70045?utm_source=chatgpt.com" TargetMode="External"/><Relationship Id="rId7" Type="http://schemas.openxmlformats.org/officeDocument/2006/relationships/hyperlink" Target="https://onlinelibrary.wiley.com/doi/10.1111/manc.70045?utm_source=chatgpt.com" TargetMode="External"/><Relationship Id="rId12" Type="http://schemas.openxmlformats.org/officeDocument/2006/relationships/hyperlink" Target="https://www.deloitte.com/in/en/about/press-room/women-working-with-gender-equality-leading-organisations-have-three-times-higher-loyalty.html?utm_source=chatgpt.com" TargetMode="External"/><Relationship Id="rId17" Type="http://schemas.openxmlformats.org/officeDocument/2006/relationships/hyperlink" Target="https://arxiv.org/abs/2006.10194?utm_source=chatgpt.com" TargetMode="External"/><Relationship Id="rId2" Type="http://schemas.openxmlformats.org/officeDocument/2006/relationships/hyperlink" Target="https://www.mckinsey.com/featured-insights/diversity-and-inclusion/women-in-the-workplace-2024?utm_source=chatgpt.com" TargetMode="External"/><Relationship Id="rId16" Type="http://schemas.openxmlformats.org/officeDocument/2006/relationships/hyperlink" Target="https://arxiv.org/abs/1704.05801?utm_source=chatgpt.com" TargetMode="External"/><Relationship Id="rId20" Type="http://schemas.openxmlformats.org/officeDocument/2006/relationships/hyperlink" Target="https://www.deloitte.com/in/en/about/press-room/women-working-with-gender-equality-leading-organisations-have-three-times-higher-loyalty.html?utm_source=chatgpt.com" TargetMode="External"/><Relationship Id="rId1" Type="http://schemas.openxmlformats.org/officeDocument/2006/relationships/pivotTable" Target="../pivotTables/pivotTable6.xml"/><Relationship Id="rId6" Type="http://schemas.openxmlformats.org/officeDocument/2006/relationships/hyperlink" Target="https://www.deloitte.com/in/en/about/press-room/women-working-with-gender-equality-leading-organisations-have-three-times-higher-loyalty.html?utm_source=chatgpt.com" TargetMode="External"/><Relationship Id="rId11" Type="http://schemas.openxmlformats.org/officeDocument/2006/relationships/hyperlink" Target="https://www.deloitte.com/in/en/about/press-room/women-working-with-gender-equality-leading-organisations-have-three-times-higher-loyalty.html?utm_source=chatgpt.com" TargetMode="External"/><Relationship Id="rId5" Type="http://schemas.openxmlformats.org/officeDocument/2006/relationships/hyperlink" Target="https://www.gallup.com/workplace/236543/business-benefits-gender-diversity.aspx?utm_source=chatgpt.com" TargetMode="External"/><Relationship Id="rId15" Type="http://schemas.openxmlformats.org/officeDocument/2006/relationships/hyperlink" Target="https://arxiv.org/abs/1812.07851?utm_source=chatgpt.com" TargetMode="External"/><Relationship Id="rId10" Type="http://schemas.openxmlformats.org/officeDocument/2006/relationships/hyperlink" Target="https://www.mckinsey.com/featured-insights/diversity-and-inclusion/women-in-the-workplace-2024?utm_source=chatgpt.com" TargetMode="External"/><Relationship Id="rId19" Type="http://schemas.openxmlformats.org/officeDocument/2006/relationships/hyperlink" Target="https://www.gallup.com/workplace/236543/business-benefits-gender-diversity.aspx?utm_source=chatgpt.com" TargetMode="External"/><Relationship Id="rId4" Type="http://schemas.openxmlformats.org/officeDocument/2006/relationships/hyperlink" Target="https://www.gallup.com/workplace/236543/business-benefits-gender-diversity.aspx?utm_source=chatgpt.com" TargetMode="External"/><Relationship Id="rId9" Type="http://schemas.openxmlformats.org/officeDocument/2006/relationships/hyperlink" Target="https://www.mckinsey.com/capabilities/people-and-organizational-performance/our-insights/delivering-through-diversity?cid=other-eml-shl-mip-mck-oth-1809&amp;utm_source=chatgpt.com" TargetMode="External"/><Relationship Id="rId14" Type="http://schemas.openxmlformats.org/officeDocument/2006/relationships/hyperlink" Target="https://arxiv.org/abs/2011.14823?utm_source=chatgpt.com" TargetMode="External"/><Relationship Id="rId2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8F16B-B188-41D0-A9B8-BF899821FEFB}">
  <dimension ref="A1:F20"/>
  <sheetViews>
    <sheetView zoomScale="62" workbookViewId="0">
      <selection activeCell="E46" sqref="E46"/>
    </sheetView>
  </sheetViews>
  <sheetFormatPr defaultRowHeight="13.8" x14ac:dyDescent="0.25"/>
  <cols>
    <col min="1" max="1" width="17.59765625" customWidth="1"/>
    <col min="2" max="2" width="21.5" customWidth="1"/>
  </cols>
  <sheetData>
    <row r="1" spans="1:2" x14ac:dyDescent="0.25">
      <c r="A1" s="13" t="s">
        <v>2</v>
      </c>
      <c r="B1" s="14">
        <v>2026</v>
      </c>
    </row>
    <row r="3" spans="1:2" x14ac:dyDescent="0.25">
      <c r="A3" s="13" t="s">
        <v>105</v>
      </c>
      <c r="B3" t="s">
        <v>109</v>
      </c>
    </row>
    <row r="4" spans="1:2" x14ac:dyDescent="0.25">
      <c r="A4" s="14" t="s">
        <v>11</v>
      </c>
      <c r="B4">
        <v>2</v>
      </c>
    </row>
    <row r="5" spans="1:2" x14ac:dyDescent="0.25">
      <c r="A5" s="14" t="s">
        <v>43</v>
      </c>
      <c r="B5">
        <v>1</v>
      </c>
    </row>
    <row r="6" spans="1:2" x14ac:dyDescent="0.25">
      <c r="A6" s="14" t="s">
        <v>106</v>
      </c>
      <c r="B6">
        <v>3</v>
      </c>
    </row>
    <row r="19" spans="5:6" ht="30.6" x14ac:dyDescent="0.55000000000000004">
      <c r="E19" s="16" t="s">
        <v>108</v>
      </c>
    </row>
    <row r="20" spans="5:6" x14ac:dyDescent="0.25">
      <c r="F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423AD-FD2A-4FA0-8BB3-3734104CCE5A}">
  <dimension ref="A3:Z72"/>
  <sheetViews>
    <sheetView tabSelected="1" zoomScale="27" zoomScaleNormal="27" workbookViewId="0">
      <selection activeCell="AE7" sqref="AE7"/>
    </sheetView>
  </sheetViews>
  <sheetFormatPr defaultRowHeight="13.8" x14ac:dyDescent="0.25"/>
  <cols>
    <col min="1" max="1" width="8.796875" style="21" customWidth="1"/>
    <col min="2" max="20" width="8.796875" style="21"/>
    <col min="21" max="21" width="8.69921875" style="21" customWidth="1"/>
    <col min="22" max="22" width="13" style="21" customWidth="1"/>
    <col min="23" max="23" width="15.69921875" style="21" customWidth="1"/>
    <col min="24" max="24" width="16.59765625" style="21" customWidth="1"/>
    <col min="25" max="25" width="16.5" style="21" customWidth="1"/>
    <col min="26" max="26" width="8.796875" style="21"/>
  </cols>
  <sheetData>
    <row r="3" spans="7:25" ht="18" x14ac:dyDescent="0.25">
      <c r="G3" s="25"/>
      <c r="H3" s="25"/>
      <c r="I3" s="25"/>
      <c r="J3" s="25"/>
    </row>
    <row r="4" spans="7:25" ht="18" x14ac:dyDescent="0.25">
      <c r="G4" s="26"/>
      <c r="H4" s="26"/>
      <c r="I4" s="26"/>
      <c r="J4" s="26"/>
    </row>
    <row r="6" spans="7:25" ht="25.2" x14ac:dyDescent="0.45">
      <c r="H6" s="27" t="s">
        <v>117</v>
      </c>
      <c r="I6" s="27"/>
      <c r="J6" s="27"/>
      <c r="K6" s="27"/>
      <c r="L6" s="27"/>
    </row>
    <row r="7" spans="7:25" ht="25.2" x14ac:dyDescent="0.45">
      <c r="H7" s="27"/>
      <c r="I7" s="27"/>
      <c r="J7" s="27"/>
      <c r="K7" s="27"/>
      <c r="L7" s="27"/>
    </row>
    <row r="9" spans="7:25" ht="22.8" x14ac:dyDescent="0.4">
      <c r="T9" s="31"/>
      <c r="U9" s="31"/>
      <c r="V9" s="31"/>
      <c r="W9" s="31"/>
      <c r="X9" s="31"/>
      <c r="Y9" s="28"/>
    </row>
    <row r="10" spans="7:25" ht="68.400000000000006" x14ac:dyDescent="0.35">
      <c r="T10" s="31"/>
      <c r="U10" s="33"/>
      <c r="V10" s="29" t="s">
        <v>114</v>
      </c>
      <c r="W10" s="29" t="s">
        <v>115</v>
      </c>
      <c r="X10" s="29" t="s">
        <v>116</v>
      </c>
      <c r="Y10" s="29" t="s">
        <v>118</v>
      </c>
    </row>
    <row r="11" spans="7:25" ht="22.8" x14ac:dyDescent="0.35">
      <c r="T11" s="31"/>
      <c r="U11" s="34"/>
      <c r="V11" s="30">
        <v>20</v>
      </c>
      <c r="W11" s="30">
        <v>5</v>
      </c>
      <c r="X11" s="30">
        <v>6</v>
      </c>
      <c r="Y11" s="30">
        <v>2026</v>
      </c>
    </row>
    <row r="19" spans="2:23" x14ac:dyDescent="0.25">
      <c r="W19" s="32"/>
    </row>
    <row r="23" spans="2:23" ht="25.2" x14ac:dyDescent="0.45">
      <c r="B23" s="35" t="s">
        <v>108</v>
      </c>
      <c r="C23" s="27"/>
      <c r="D23" s="27"/>
      <c r="E23" s="27"/>
      <c r="F23" s="27"/>
      <c r="G23" s="27"/>
      <c r="H23" s="27"/>
      <c r="J23" s="36"/>
      <c r="K23" s="36" t="s">
        <v>113</v>
      </c>
      <c r="L23" s="36"/>
      <c r="M23" s="36"/>
      <c r="N23" s="36"/>
      <c r="O23" s="36"/>
      <c r="P23" s="36"/>
      <c r="Q23" s="36"/>
    </row>
    <row r="25" spans="2:23" x14ac:dyDescent="0.25">
      <c r="J25" s="24"/>
    </row>
    <row r="26" spans="2:23" x14ac:dyDescent="0.25">
      <c r="K26" s="23"/>
    </row>
    <row r="45" spans="2:10" ht="22.8" x14ac:dyDescent="0.4">
      <c r="B45" s="36" t="s">
        <v>112</v>
      </c>
      <c r="J45" s="36" t="s">
        <v>111</v>
      </c>
    </row>
    <row r="71" spans="2:7" x14ac:dyDescent="0.25">
      <c r="G71" s="22"/>
    </row>
    <row r="72" spans="2:7" ht="22.8" x14ac:dyDescent="0.4">
      <c r="B72" s="36" t="s">
        <v>110</v>
      </c>
    </row>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0111-7BF6-4470-942C-F0C4A564D80A}">
  <dimension ref="A1:F18"/>
  <sheetViews>
    <sheetView topLeftCell="E1" workbookViewId="0">
      <selection activeCell="I19" sqref="I19"/>
    </sheetView>
  </sheetViews>
  <sheetFormatPr defaultRowHeight="13.8" x14ac:dyDescent="0.25"/>
  <cols>
    <col min="1" max="1" width="12.5" customWidth="1"/>
    <col min="2" max="2" width="15" customWidth="1"/>
    <col min="3" max="3" width="30.5" customWidth="1"/>
    <col min="4" max="4" width="7.59765625" customWidth="1"/>
    <col min="5" max="5" width="21" customWidth="1"/>
    <col min="6" max="6" width="6.5" customWidth="1"/>
    <col min="7" max="7" width="31" customWidth="1"/>
    <col min="8" max="8" width="28.09765625" customWidth="1"/>
    <col min="9" max="9" width="15.09765625" customWidth="1"/>
    <col min="10" max="10" width="8" customWidth="1"/>
    <col min="11" max="11" width="30.3984375" customWidth="1"/>
    <col min="12" max="12" width="28.296875" customWidth="1"/>
    <col min="13" max="13" width="19.69921875" customWidth="1"/>
    <col min="14" max="14" width="9.5" customWidth="1"/>
    <col min="15" max="21" width="2.69921875" customWidth="1"/>
    <col min="22" max="22" width="9.5" customWidth="1"/>
  </cols>
  <sheetData>
    <row r="1" spans="1:2" x14ac:dyDescent="0.25">
      <c r="A1" s="13" t="s">
        <v>4</v>
      </c>
      <c r="B1" t="s">
        <v>107</v>
      </c>
    </row>
    <row r="3" spans="1:2" x14ac:dyDescent="0.25">
      <c r="A3" s="13" t="s">
        <v>105</v>
      </c>
      <c r="B3" t="s">
        <v>109</v>
      </c>
    </row>
    <row r="4" spans="1:2" x14ac:dyDescent="0.25">
      <c r="A4" s="14" t="s">
        <v>17</v>
      </c>
      <c r="B4">
        <v>1</v>
      </c>
    </row>
    <row r="5" spans="1:2" x14ac:dyDescent="0.25">
      <c r="A5" s="14" t="s">
        <v>106</v>
      </c>
      <c r="B5">
        <v>1</v>
      </c>
    </row>
    <row r="18" spans="6:6" ht="15.6" x14ac:dyDescent="0.3">
      <c r="F18" s="19" t="s">
        <v>113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C3C0-1CEC-4FBC-BB37-7AFDD0CB7849}">
  <dimension ref="A1:H26"/>
  <sheetViews>
    <sheetView zoomScale="74" workbookViewId="0">
      <selection activeCell="O25" sqref="O25"/>
    </sheetView>
  </sheetViews>
  <sheetFormatPr defaultRowHeight="13.8" x14ac:dyDescent="0.25"/>
  <cols>
    <col min="1" max="1" width="22.5" customWidth="1"/>
    <col min="2" max="2" width="16" customWidth="1"/>
  </cols>
  <sheetData>
    <row r="1" spans="1:2" x14ac:dyDescent="0.25">
      <c r="A1" s="13" t="s">
        <v>3</v>
      </c>
      <c r="B1" t="s">
        <v>107</v>
      </c>
    </row>
    <row r="3" spans="1:2" x14ac:dyDescent="0.25">
      <c r="A3" s="13" t="s">
        <v>105</v>
      </c>
      <c r="B3" t="s">
        <v>109</v>
      </c>
    </row>
    <row r="4" spans="1:2" x14ac:dyDescent="0.25">
      <c r="A4" s="14" t="s">
        <v>58</v>
      </c>
      <c r="B4">
        <v>1</v>
      </c>
    </row>
    <row r="5" spans="1:2" x14ac:dyDescent="0.25">
      <c r="A5" s="14" t="s">
        <v>106</v>
      </c>
      <c r="B5">
        <v>1</v>
      </c>
    </row>
    <row r="23" spans="5:8" ht="18" x14ac:dyDescent="0.35">
      <c r="E23" s="20" t="s">
        <v>112</v>
      </c>
      <c r="H23" s="2"/>
    </row>
    <row r="24" spans="5:8" x14ac:dyDescent="0.25">
      <c r="E24" s="2"/>
      <c r="F24" s="2"/>
    </row>
    <row r="25" spans="5:8" x14ac:dyDescent="0.25">
      <c r="F25" s="18"/>
    </row>
    <row r="26" spans="5:8" x14ac:dyDescent="0.25">
      <c r="E26" s="1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A485B-8C01-40FF-830E-36BE864E9C81}">
  <dimension ref="A2:I20"/>
  <sheetViews>
    <sheetView topLeftCell="C1" zoomScale="80" workbookViewId="0">
      <selection activeCell="O20" sqref="O20"/>
    </sheetView>
  </sheetViews>
  <sheetFormatPr defaultRowHeight="13.8" x14ac:dyDescent="0.25"/>
  <cols>
    <col min="1" max="1" width="28.296875" customWidth="1"/>
    <col min="2" max="2" width="16.5" customWidth="1"/>
  </cols>
  <sheetData>
    <row r="2" spans="1:2" x14ac:dyDescent="0.25">
      <c r="A2" s="13" t="s">
        <v>5</v>
      </c>
      <c r="B2" t="s">
        <v>107</v>
      </c>
    </row>
    <row r="4" spans="1:2" x14ac:dyDescent="0.25">
      <c r="A4" s="13" t="s">
        <v>105</v>
      </c>
      <c r="B4" t="s">
        <v>109</v>
      </c>
    </row>
    <row r="5" spans="1:2" x14ac:dyDescent="0.25">
      <c r="A5" s="14" t="s">
        <v>19</v>
      </c>
      <c r="B5">
        <v>1</v>
      </c>
    </row>
    <row r="6" spans="1:2" x14ac:dyDescent="0.25">
      <c r="A6" s="14" t="s">
        <v>13</v>
      </c>
      <c r="B6">
        <v>1</v>
      </c>
    </row>
    <row r="7" spans="1:2" x14ac:dyDescent="0.25">
      <c r="A7" s="14" t="s">
        <v>106</v>
      </c>
      <c r="B7">
        <v>2</v>
      </c>
    </row>
    <row r="18" spans="5:9" x14ac:dyDescent="0.25">
      <c r="E18" s="2"/>
      <c r="F18" s="2"/>
      <c r="G18" s="2"/>
      <c r="H18" s="2"/>
      <c r="I18" s="2"/>
    </row>
    <row r="19" spans="5:9" ht="15.6" x14ac:dyDescent="0.3">
      <c r="E19" s="19" t="s">
        <v>111</v>
      </c>
      <c r="F19" s="2"/>
      <c r="G19" s="2"/>
      <c r="H19" s="2"/>
    </row>
    <row r="20" spans="5:9" x14ac:dyDescent="0.25">
      <c r="E20" s="18"/>
      <c r="F20" s="18"/>
      <c r="G20" s="18"/>
      <c r="H20" s="1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0F13-565D-436A-9A96-91C213B7B633}">
  <dimension ref="A1:E23"/>
  <sheetViews>
    <sheetView zoomScale="57" workbookViewId="0">
      <selection activeCell="P21" sqref="P21"/>
    </sheetView>
  </sheetViews>
  <sheetFormatPr defaultRowHeight="13.8" x14ac:dyDescent="0.25"/>
  <cols>
    <col min="1" max="1" width="17.796875" customWidth="1"/>
    <col min="2" max="2" width="20.69921875" customWidth="1"/>
  </cols>
  <sheetData>
    <row r="1" spans="1:2" x14ac:dyDescent="0.25">
      <c r="A1" s="13" t="s">
        <v>8</v>
      </c>
      <c r="B1" t="s">
        <v>107</v>
      </c>
    </row>
    <row r="3" spans="1:2" x14ac:dyDescent="0.25">
      <c r="A3" s="13" t="s">
        <v>105</v>
      </c>
      <c r="B3" t="s">
        <v>109</v>
      </c>
    </row>
    <row r="4" spans="1:2" x14ac:dyDescent="0.25">
      <c r="A4" s="14">
        <v>2024</v>
      </c>
      <c r="B4">
        <v>6</v>
      </c>
    </row>
    <row r="5" spans="1:2" x14ac:dyDescent="0.25">
      <c r="A5" s="14" t="s">
        <v>106</v>
      </c>
      <c r="B5">
        <v>6</v>
      </c>
    </row>
    <row r="23" spans="5:5" ht="20.399999999999999" x14ac:dyDescent="0.35">
      <c r="E23" s="17" t="s">
        <v>110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519B-B126-48FD-870D-AA7FF847A0A7}">
  <dimension ref="A1:L21"/>
  <sheetViews>
    <sheetView topLeftCell="Y1" zoomScale="60" workbookViewId="0">
      <selection activeCell="K5" sqref="K5"/>
    </sheetView>
  </sheetViews>
  <sheetFormatPr defaultRowHeight="14.4" x14ac:dyDescent="0.25"/>
  <cols>
    <col min="1" max="1" width="9.69921875" customWidth="1"/>
    <col min="4" max="4" width="15.5" customWidth="1"/>
    <col min="5" max="5" width="9.59765625" customWidth="1"/>
    <col min="6" max="6" width="15.09765625" customWidth="1"/>
    <col min="7" max="7" width="15.69921875" customWidth="1"/>
    <col min="8" max="8" width="13.69921875" customWidth="1"/>
    <col min="9" max="9" width="16.5" customWidth="1"/>
  </cols>
  <sheetData>
    <row r="1" spans="1:12" ht="13.8" x14ac:dyDescent="0.25">
      <c r="A1" s="1" t="s">
        <v>0</v>
      </c>
      <c r="B1" s="1" t="s">
        <v>1</v>
      </c>
      <c r="C1" s="1" t="s">
        <v>2</v>
      </c>
      <c r="D1" s="1" t="s">
        <v>3</v>
      </c>
      <c r="E1" s="1" t="s">
        <v>4</v>
      </c>
      <c r="F1" s="1" t="s">
        <v>5</v>
      </c>
      <c r="G1" s="1" t="s">
        <v>6</v>
      </c>
      <c r="H1" s="1" t="s">
        <v>7</v>
      </c>
      <c r="I1" s="1" t="s">
        <v>8</v>
      </c>
    </row>
    <row r="2" spans="1:12" ht="110.4" x14ac:dyDescent="0.25">
      <c r="A2" s="1" t="s">
        <v>0</v>
      </c>
      <c r="B2" s="2" t="s">
        <v>9</v>
      </c>
      <c r="C2" s="2">
        <v>2024</v>
      </c>
      <c r="D2" s="2" t="s">
        <v>10</v>
      </c>
      <c r="E2" s="2" t="s">
        <v>11</v>
      </c>
      <c r="F2" s="2" t="s">
        <v>12</v>
      </c>
      <c r="G2" s="2" t="s">
        <v>13</v>
      </c>
      <c r="H2" s="3" t="s">
        <v>14</v>
      </c>
      <c r="I2" s="2" t="s">
        <v>15</v>
      </c>
      <c r="J2" s="4"/>
      <c r="K2" s="5"/>
      <c r="L2" s="6"/>
    </row>
    <row r="3" spans="1:12" ht="110.4" x14ac:dyDescent="0.25">
      <c r="A3" s="1" t="s">
        <v>0</v>
      </c>
      <c r="B3" s="2" t="s">
        <v>16</v>
      </c>
      <c r="C3" s="2">
        <v>2018</v>
      </c>
      <c r="D3" s="2" t="s">
        <v>17</v>
      </c>
      <c r="E3" s="2" t="s">
        <v>11</v>
      </c>
      <c r="F3" s="2" t="s">
        <v>18</v>
      </c>
      <c r="G3" s="2" t="s">
        <v>19</v>
      </c>
      <c r="H3" s="3" t="s">
        <v>20</v>
      </c>
      <c r="I3" s="2" t="s">
        <v>21</v>
      </c>
      <c r="J3" s="7"/>
      <c r="K3" s="8"/>
      <c r="L3" s="9"/>
    </row>
    <row r="4" spans="1:12" ht="69" x14ac:dyDescent="0.25">
      <c r="A4" s="1" t="s">
        <v>0</v>
      </c>
      <c r="B4" s="2" t="s">
        <v>22</v>
      </c>
      <c r="C4" s="2">
        <v>2014</v>
      </c>
      <c r="D4" s="2" t="s">
        <v>10</v>
      </c>
      <c r="E4" s="2" t="s">
        <v>23</v>
      </c>
      <c r="F4" s="2" t="s">
        <v>24</v>
      </c>
      <c r="G4" s="2" t="s">
        <v>25</v>
      </c>
      <c r="H4" s="3" t="s">
        <v>26</v>
      </c>
      <c r="I4" s="2" t="s">
        <v>27</v>
      </c>
      <c r="J4" s="7"/>
      <c r="K4" s="8"/>
      <c r="L4" s="9"/>
    </row>
    <row r="5" spans="1:12" ht="69" x14ac:dyDescent="0.25">
      <c r="A5" s="1" t="s">
        <v>0</v>
      </c>
      <c r="B5" s="2" t="s">
        <v>22</v>
      </c>
      <c r="C5" s="2">
        <v>2014</v>
      </c>
      <c r="D5" s="2" t="s">
        <v>10</v>
      </c>
      <c r="E5" s="2" t="s">
        <v>28</v>
      </c>
      <c r="F5" s="2" t="s">
        <v>24</v>
      </c>
      <c r="G5" s="2" t="s">
        <v>29</v>
      </c>
      <c r="H5" s="3" t="s">
        <v>30</v>
      </c>
      <c r="I5" s="2" t="s">
        <v>31</v>
      </c>
      <c r="J5" s="7"/>
      <c r="K5" s="8"/>
      <c r="L5" s="9"/>
    </row>
    <row r="6" spans="1:12" ht="96.6" x14ac:dyDescent="0.25">
      <c r="A6" s="1" t="s">
        <v>0</v>
      </c>
      <c r="B6" s="2" t="s">
        <v>32</v>
      </c>
      <c r="C6" s="2">
        <v>2024</v>
      </c>
      <c r="D6" s="2" t="s">
        <v>17</v>
      </c>
      <c r="E6" s="2" t="s">
        <v>11</v>
      </c>
      <c r="F6" s="2" t="s">
        <v>33</v>
      </c>
      <c r="G6" s="2" t="s">
        <v>34</v>
      </c>
      <c r="H6" s="3" t="s">
        <v>35</v>
      </c>
      <c r="I6" s="2" t="s">
        <v>36</v>
      </c>
      <c r="J6" s="7"/>
      <c r="K6" s="8"/>
      <c r="L6" s="9"/>
    </row>
    <row r="7" spans="1:12" ht="96.6" x14ac:dyDescent="0.25">
      <c r="A7" s="1" t="s">
        <v>0</v>
      </c>
      <c r="B7" s="2" t="s">
        <v>37</v>
      </c>
      <c r="C7" s="2">
        <v>2026</v>
      </c>
      <c r="D7" s="2" t="s">
        <v>38</v>
      </c>
      <c r="E7" s="2" t="s">
        <v>11</v>
      </c>
      <c r="F7" s="2" t="s">
        <v>39</v>
      </c>
      <c r="G7" s="2" t="s">
        <v>40</v>
      </c>
      <c r="H7" s="3" t="s">
        <v>41</v>
      </c>
      <c r="I7" s="2" t="s">
        <v>42</v>
      </c>
      <c r="J7" s="7"/>
      <c r="K7" s="8"/>
      <c r="L7" s="9"/>
    </row>
    <row r="8" spans="1:12" ht="82.8" x14ac:dyDescent="0.25">
      <c r="A8" s="1" t="s">
        <v>0</v>
      </c>
      <c r="B8" s="2" t="s">
        <v>37</v>
      </c>
      <c r="C8" s="2">
        <v>2026</v>
      </c>
      <c r="D8" s="2" t="s">
        <v>38</v>
      </c>
      <c r="E8" s="2" t="s">
        <v>43</v>
      </c>
      <c r="F8" s="2" t="s">
        <v>44</v>
      </c>
      <c r="G8" s="2" t="s">
        <v>45</v>
      </c>
      <c r="H8" s="3" t="s">
        <v>46</v>
      </c>
      <c r="I8" s="2" t="s">
        <v>47</v>
      </c>
      <c r="J8" s="7"/>
      <c r="K8" s="8"/>
      <c r="L8" s="9"/>
    </row>
    <row r="9" spans="1:12" ht="110.4" x14ac:dyDescent="0.25">
      <c r="A9" s="1" t="s">
        <v>0</v>
      </c>
      <c r="B9" s="2" t="s">
        <v>48</v>
      </c>
      <c r="C9" s="2">
        <v>2018</v>
      </c>
      <c r="D9" s="2" t="s">
        <v>17</v>
      </c>
      <c r="E9" s="2" t="s">
        <v>11</v>
      </c>
      <c r="F9" s="2" t="s">
        <v>49</v>
      </c>
      <c r="G9" s="2" t="s">
        <v>50</v>
      </c>
      <c r="H9" s="3" t="s">
        <v>51</v>
      </c>
      <c r="I9" s="2" t="s">
        <v>52</v>
      </c>
      <c r="J9" s="7"/>
      <c r="K9" s="8"/>
      <c r="L9" s="9"/>
    </row>
    <row r="10" spans="1:12" ht="82.8" x14ac:dyDescent="0.25">
      <c r="A10" s="1" t="s">
        <v>0</v>
      </c>
      <c r="B10" s="2" t="s">
        <v>53</v>
      </c>
      <c r="C10" s="2">
        <v>2024</v>
      </c>
      <c r="D10" s="2" t="s">
        <v>10</v>
      </c>
      <c r="E10" s="2" t="s">
        <v>54</v>
      </c>
      <c r="F10" s="2" t="s">
        <v>55</v>
      </c>
      <c r="G10" s="2" t="s">
        <v>56</v>
      </c>
      <c r="H10" s="3" t="s">
        <v>57</v>
      </c>
      <c r="I10" s="2" t="s">
        <v>58</v>
      </c>
      <c r="J10" s="7"/>
      <c r="K10" s="8"/>
      <c r="L10" s="9"/>
    </row>
    <row r="11" spans="1:12" ht="69" x14ac:dyDescent="0.25">
      <c r="A11" s="1" t="s">
        <v>0</v>
      </c>
      <c r="B11" s="2" t="s">
        <v>59</v>
      </c>
      <c r="C11" s="2">
        <v>2024</v>
      </c>
      <c r="D11" s="2" t="s">
        <v>17</v>
      </c>
      <c r="E11" s="2" t="s">
        <v>11</v>
      </c>
      <c r="F11" s="2" t="s">
        <v>60</v>
      </c>
      <c r="G11" s="2" t="s">
        <v>61</v>
      </c>
      <c r="H11" s="3" t="s">
        <v>62</v>
      </c>
      <c r="I11" s="2" t="s">
        <v>63</v>
      </c>
      <c r="J11" s="7"/>
      <c r="K11" s="8"/>
      <c r="L11" s="9"/>
    </row>
    <row r="12" spans="1:12" ht="69" x14ac:dyDescent="0.25">
      <c r="A12" s="1" t="s">
        <v>0</v>
      </c>
      <c r="B12" s="2" t="s">
        <v>59</v>
      </c>
      <c r="C12" s="2">
        <v>2024</v>
      </c>
      <c r="D12" s="2" t="s">
        <v>17</v>
      </c>
      <c r="E12" s="2" t="s">
        <v>11</v>
      </c>
      <c r="F12" s="2" t="s">
        <v>60</v>
      </c>
      <c r="G12" s="2" t="s">
        <v>64</v>
      </c>
      <c r="H12" s="3" t="s">
        <v>65</v>
      </c>
      <c r="I12" s="2" t="s">
        <v>42</v>
      </c>
      <c r="J12" s="7"/>
      <c r="K12" s="8"/>
      <c r="L12" s="9"/>
    </row>
    <row r="13" spans="1:12" ht="82.8" x14ac:dyDescent="0.25">
      <c r="A13" s="1" t="s">
        <v>0</v>
      </c>
      <c r="B13" s="2" t="s">
        <v>22</v>
      </c>
      <c r="C13" s="2">
        <v>2014</v>
      </c>
      <c r="D13" s="2" t="s">
        <v>10</v>
      </c>
      <c r="E13" s="2" t="s">
        <v>11</v>
      </c>
      <c r="F13" s="2" t="s">
        <v>66</v>
      </c>
      <c r="G13" s="2" t="s">
        <v>67</v>
      </c>
      <c r="H13" s="3" t="s">
        <v>68</v>
      </c>
      <c r="I13" s="2" t="s">
        <v>69</v>
      </c>
      <c r="J13" s="7"/>
      <c r="K13" s="8"/>
      <c r="L13" s="9"/>
    </row>
    <row r="14" spans="1:12" ht="69" x14ac:dyDescent="0.25">
      <c r="A14" s="1" t="s">
        <v>0</v>
      </c>
      <c r="B14" s="2" t="s">
        <v>70</v>
      </c>
      <c r="C14" s="2">
        <v>2020</v>
      </c>
      <c r="D14" s="2" t="s">
        <v>17</v>
      </c>
      <c r="E14" s="2" t="s">
        <v>71</v>
      </c>
      <c r="F14" s="2" t="s">
        <v>72</v>
      </c>
      <c r="G14" s="2" t="s">
        <v>73</v>
      </c>
      <c r="H14" s="3" t="s">
        <v>74</v>
      </c>
      <c r="I14" s="2" t="s">
        <v>75</v>
      </c>
      <c r="J14" s="7"/>
      <c r="K14" s="8"/>
      <c r="L14" s="9"/>
    </row>
    <row r="15" spans="1:12" ht="69" x14ac:dyDescent="0.25">
      <c r="A15" s="1" t="s">
        <v>0</v>
      </c>
      <c r="B15" s="2" t="s">
        <v>76</v>
      </c>
      <c r="C15" s="2">
        <v>2018</v>
      </c>
      <c r="D15" s="2" t="s">
        <v>77</v>
      </c>
      <c r="E15" s="2" t="s">
        <v>71</v>
      </c>
      <c r="F15" s="2" t="s">
        <v>78</v>
      </c>
      <c r="G15" s="2" t="s">
        <v>79</v>
      </c>
      <c r="H15" s="3" t="s">
        <v>80</v>
      </c>
      <c r="I15" s="2" t="s">
        <v>81</v>
      </c>
      <c r="J15" s="7"/>
      <c r="K15" s="8"/>
      <c r="L15" s="9"/>
    </row>
    <row r="16" spans="1:12" ht="69" x14ac:dyDescent="0.25">
      <c r="A16" s="1" t="s">
        <v>0</v>
      </c>
      <c r="B16" s="2" t="s">
        <v>82</v>
      </c>
      <c r="C16" s="2">
        <v>2017</v>
      </c>
      <c r="D16" s="2" t="s">
        <v>17</v>
      </c>
      <c r="E16" s="2" t="s">
        <v>71</v>
      </c>
      <c r="F16" s="2" t="s">
        <v>83</v>
      </c>
      <c r="G16" s="2" t="s">
        <v>84</v>
      </c>
      <c r="H16" s="3" t="s">
        <v>85</v>
      </c>
      <c r="I16" s="2" t="s">
        <v>86</v>
      </c>
      <c r="J16" s="7"/>
      <c r="K16" s="8"/>
      <c r="L16" s="9"/>
    </row>
    <row r="17" spans="1:12" ht="110.4" x14ac:dyDescent="0.25">
      <c r="A17" s="1" t="s">
        <v>0</v>
      </c>
      <c r="B17" s="2" t="s">
        <v>87</v>
      </c>
      <c r="C17" s="2">
        <v>2020</v>
      </c>
      <c r="D17" s="2" t="s">
        <v>88</v>
      </c>
      <c r="E17" s="2" t="s">
        <v>71</v>
      </c>
      <c r="F17" s="2" t="s">
        <v>89</v>
      </c>
      <c r="G17" s="2" t="s">
        <v>90</v>
      </c>
      <c r="H17" s="3" t="s">
        <v>91</v>
      </c>
      <c r="I17" s="2" t="s">
        <v>92</v>
      </c>
      <c r="J17" s="7"/>
      <c r="K17" s="8"/>
      <c r="L17" s="9"/>
    </row>
    <row r="18" spans="1:12" ht="96.6" x14ac:dyDescent="0.25">
      <c r="A18" s="1" t="s">
        <v>0</v>
      </c>
      <c r="B18" s="2" t="s">
        <v>48</v>
      </c>
      <c r="C18" s="2">
        <v>2018</v>
      </c>
      <c r="D18" s="2" t="s">
        <v>17</v>
      </c>
      <c r="E18" s="2" t="s">
        <v>11</v>
      </c>
      <c r="F18" s="2" t="s">
        <v>49</v>
      </c>
      <c r="G18" s="2" t="s">
        <v>93</v>
      </c>
      <c r="H18" s="3" t="s">
        <v>94</v>
      </c>
      <c r="I18" s="2" t="s">
        <v>95</v>
      </c>
      <c r="J18" s="7"/>
      <c r="K18" s="8"/>
      <c r="L18" s="9"/>
    </row>
    <row r="19" spans="1:12" ht="82.8" x14ac:dyDescent="0.25">
      <c r="A19" s="1" t="s">
        <v>0</v>
      </c>
      <c r="B19" s="2" t="s">
        <v>22</v>
      </c>
      <c r="C19" s="2">
        <v>2014</v>
      </c>
      <c r="D19" s="2" t="s">
        <v>23</v>
      </c>
      <c r="E19" s="2" t="s">
        <v>10</v>
      </c>
      <c r="F19" s="2" t="s">
        <v>66</v>
      </c>
      <c r="G19" s="2" t="s">
        <v>96</v>
      </c>
      <c r="H19" s="3" t="s">
        <v>97</v>
      </c>
      <c r="I19" s="2" t="s">
        <v>98</v>
      </c>
      <c r="J19" s="10"/>
      <c r="K19" s="11"/>
      <c r="L19" s="12"/>
    </row>
    <row r="20" spans="1:12" ht="82.8" x14ac:dyDescent="0.25">
      <c r="A20" s="1" t="s">
        <v>0</v>
      </c>
      <c r="B20" s="2" t="s">
        <v>59</v>
      </c>
      <c r="C20" s="2">
        <v>2024</v>
      </c>
      <c r="D20" s="2" t="s">
        <v>17</v>
      </c>
      <c r="E20" s="2" t="s">
        <v>11</v>
      </c>
      <c r="F20" s="2" t="s">
        <v>60</v>
      </c>
      <c r="G20" s="2" t="s">
        <v>99</v>
      </c>
      <c r="H20" s="3" t="s">
        <v>100</v>
      </c>
      <c r="I20" s="2" t="s">
        <v>101</v>
      </c>
    </row>
    <row r="21" spans="1:12" ht="82.8" x14ac:dyDescent="0.25">
      <c r="A21" s="1" t="s">
        <v>0</v>
      </c>
      <c r="B21" s="2" t="s">
        <v>37</v>
      </c>
      <c r="C21" s="2">
        <v>2026</v>
      </c>
      <c r="D21" s="2" t="s">
        <v>38</v>
      </c>
      <c r="E21" s="2" t="s">
        <v>11</v>
      </c>
      <c r="F21" s="2" t="s">
        <v>44</v>
      </c>
      <c r="G21" s="2" t="s">
        <v>102</v>
      </c>
      <c r="H21" s="3" t="s">
        <v>103</v>
      </c>
      <c r="I21" s="2" t="s">
        <v>104</v>
      </c>
    </row>
  </sheetData>
  <hyperlinks>
    <hyperlink ref="H2" r:id="rId2" tooltip="Women in the Workplace 2024 report | McKinsey" display="https://www.mckinsey.com/featured-insights/diversity-and-inclusion/women-in-the-workplace-2024?utm_source=chatgpt.com" xr:uid="{A6A45EAF-225C-4144-B4C1-BC3F61371E45}"/>
    <hyperlink ref="H3" r:id="rId3" tooltip="Delivering through diversity" display="https://www.mckinsey.com/capabilities/people-and-organizational-performance/our-insights/delivering-through-diversity?cid=other-eml-shl-mip-mck-oth-1809&amp;utm_source=chatgpt.com" xr:uid="{CB936C05-EF42-46C5-8C02-69296F2CFEAB}"/>
    <hyperlink ref="H4" r:id="rId4" tooltip="The Business Benefits of Gender Diversity" display="https://www.gallup.com/workplace/236543/business-benefits-gender-diversity.aspx?utm_source=chatgpt.com" xr:uid="{10668118-6FAB-41BC-B8D4-9A43D4ACA52B}"/>
    <hyperlink ref="H5" r:id="rId5" tooltip="The Business Benefits of Gender Diversity" display="https://www.gallup.com/workplace/236543/business-benefits-gender-diversity.aspx?utm_source=chatgpt.com" xr:uid="{8A496D8A-2AD4-405F-BD32-2BB1A8036177}"/>
    <hyperlink ref="H6" r:id="rId6" tooltip="Women working with gender equality leading organisations have three times higher loyalty" display="https://www.deloitte.com/in/en/about/press-room/women-working-with-gender-equality-leading-organisations-have-three-times-higher-loyalty.html?utm_source=chatgpt.com" xr:uid="{AC68E5EA-FA38-4332-9617-8F4ADE48974D}"/>
    <hyperlink ref="H7" r:id="rId7" tooltip="Does Workforce Gender Diversity Affect Firm Productivity in India? - Mangla - The Manchester School - Wiley Online Library" display="https://onlinelibrary.wiley.com/doi/10.1111/manc.70045?utm_source=chatgpt.com" xr:uid="{DBB51BE2-615F-4785-998B-ED7F93098597}"/>
    <hyperlink ref="H8" r:id="rId8" tooltip="Does Workforce Gender Diversity Affect Firm Productivity in India? - Mangla - The Manchester School - Wiley Online Library" display="https://onlinelibrary.wiley.com/doi/10.1111/manc.70045?utm_source=chatgpt.com" xr:uid="{ABC10FC6-E99A-4C08-B955-31D81B18BD89}"/>
    <hyperlink ref="H9" r:id="rId9" tooltip="Delivering through diversity" display="https://www.mckinsey.com/capabilities/people-and-organizational-performance/our-insights/delivering-through-diversity?cid=other-eml-shl-mip-mck-oth-1809&amp;utm_source=chatgpt.com" xr:uid="{6A9CB2A0-74B3-4075-8D5A-715542426EBC}"/>
    <hyperlink ref="H10" r:id="rId10" tooltip="Women in the Workplace 2024 report | McKinsey" display="https://www.mckinsey.com/featured-insights/diversity-and-inclusion/women-in-the-workplace-2024?utm_source=chatgpt.com" xr:uid="{50D5AF3F-E380-4053-91F0-468013356CDB}"/>
    <hyperlink ref="H11" r:id="rId11" tooltip="Women working with gender equality leading organisations have three times higher loyalty" display="https://www.deloitte.com/in/en/about/press-room/women-working-with-gender-equality-leading-organisations-have-three-times-higher-loyalty.html?utm_source=chatgpt.com" xr:uid="{1932854D-CBA7-4657-B027-B535340F4C08}"/>
    <hyperlink ref="H12" r:id="rId12" tooltip="Women working with gender equality leading organisations have three times higher loyalty" display="https://www.deloitte.com/in/en/about/press-room/women-working-with-gender-equality-leading-organisations-have-three-times-higher-loyalty.html?utm_source=chatgpt.com" xr:uid="{66D70193-3D19-4F9E-A52A-02FECCEDF5F5}"/>
    <hyperlink ref="H13" r:id="rId13" tooltip="The Business Benefits of Gender Diversity" display="https://www.gallup.com/workplace/236543/business-benefits-gender-diversity.aspx?utm_source=chatgpt.com" xr:uid="{8F43AC52-A07E-4AFE-BF5B-59DC64DA7467}"/>
    <hyperlink ref="H14" r:id="rId14" tooltip="Gender diversity in research teams and citation impact in Economics and Management" display="https://arxiv.org/abs/2011.14823?utm_source=chatgpt.com" xr:uid="{62FEA033-CE19-486E-A27A-CA5E62CBA0BA}"/>
    <hyperlink ref="H15" r:id="rId15" tooltip="Gender differences in research productivity: a bibliometric analysis of the Italian academic system" display="https://arxiv.org/abs/1812.07851?utm_source=chatgpt.com" xr:uid="{0C1EC2EF-ABA0-42F4-8756-99A67A8A3549}"/>
    <hyperlink ref="H16" r:id="rId16" tooltip="Gender Disparities in Science? Dropout, Productivity, Collaborations and Success of Male and Female Computer Scientists" display="https://arxiv.org/abs/1704.05801?utm_source=chatgpt.com" xr:uid="{30529DAF-2D6F-48B4-86D6-C8EAF30B87B5}"/>
    <hyperlink ref="H17" r:id="rId17" tooltip="Gender Inequality in Research Productivity During the COVID-19 Pandemic" display="https://arxiv.org/abs/2006.10194?utm_source=chatgpt.com" xr:uid="{89808DE0-6EE7-4888-82F7-C53024CEEF3F}"/>
    <hyperlink ref="H18" r:id="rId18" tooltip="Delivering through diversity" display="https://www.mckinsey.com/capabilities/people-and-organizational-performance/our-insights/delivering-through-diversity?cid=other-eml-shl-mip-mck-oth-1809&amp;utm_source=chatgpt.com" xr:uid="{62D0C56C-834D-4B4E-848A-A2EA335017DC}"/>
    <hyperlink ref="H19" r:id="rId19" tooltip="The Business Benefits of Gender Diversity" display="https://www.gallup.com/workplace/236543/business-benefits-gender-diversity.aspx?utm_source=chatgpt.com" xr:uid="{5DD0CC6C-BD17-4F39-B605-D8803B99DEA8}"/>
    <hyperlink ref="H20" r:id="rId20" tooltip="Women working with gender equality leading organisations have three times higher loyalty" display="https://www.deloitte.com/in/en/about/press-room/women-working-with-gender-equality-leading-organisations-have-three-times-higher-loyalty.html?utm_source=chatgpt.com" xr:uid="{EBBB19E4-17A1-4FB0-AEBB-6235033E2A12}"/>
    <hyperlink ref="H21" r:id="rId21" tooltip="Does Workforce Gender Diversity Affect Firm Productivity in India? - Mangla - The Manchester School - Wiley Online Library" display="https://onlinelibrary.wiley.com/doi/10.1111/manc.70045?utm_source=chatgpt.com" xr:uid="{3FEA40B7-1170-45CC-89BA-1FBD4178DEAB}"/>
  </hyperlinks>
  <pageMargins left="0.7" right="0.7" top="0.75" bottom="0.75" header="0.3" footer="0.3"/>
  <tableParts count="1">
    <tablePart r:id="rId2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Research Study PivotTable</vt:lpstr>
      <vt:lpstr>Dashboard</vt:lpstr>
      <vt:lpstr>Country PivotTable</vt:lpstr>
      <vt:lpstr>Business Impact PivotTable</vt:lpstr>
      <vt:lpstr>Research Focus PivotTable </vt:lpstr>
      <vt:lpstr>Year PivotTable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Babita Upadhyay</dc:creator>
  <cp:lastModifiedBy>Babita Upadhyay</cp:lastModifiedBy>
  <cp:lastPrinted>2026-09-09T12:15:05Z</cp:lastPrinted>
  <dcterms:created xsi:type="dcterms:W3CDTF">2026-07-23T14:52:05Z</dcterms:created>
  <dcterms:modified xsi:type="dcterms:W3CDTF">2026-09-09T13:07:36Z</dcterms:modified>
</cp:coreProperties>
</file>